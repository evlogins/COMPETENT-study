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tmp" ContentType="image/p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11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marcelhochreiter/Documents/Beruf/Forschung/Studien_ eigene/Sevo_Mitraclip/Daten/"/>
    </mc:Choice>
  </mc:AlternateContent>
  <xr:revisionPtr revIDLastSave="0" documentId="13_ncr:1_{C055C6E1-D280-B449-93AB-0BDFFB144311}" xr6:coauthVersionLast="47" xr6:coauthVersionMax="47" xr10:uidLastSave="{00000000-0000-0000-0000-000000000000}"/>
  <bookViews>
    <workbookView xWindow="0" yWindow="500" windowWidth="28800" windowHeight="15840" tabRatio="187" xr2:uid="{00000000-000D-0000-FFFF-FFFF00000000}"/>
  </bookViews>
  <sheets>
    <sheet name="Endpunkttabelle" sheetId="8" r:id="rId1"/>
    <sheet name="Legende" sheetId="15" r:id="rId2"/>
    <sheet name="Tabelle1" sheetId="1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Z3" i="8" l="1"/>
  <c r="AZ4" i="8"/>
  <c r="AZ5" i="8"/>
  <c r="AZ6" i="8"/>
  <c r="AZ7" i="8"/>
  <c r="AZ8" i="8"/>
  <c r="AZ9" i="8"/>
  <c r="AZ10" i="8"/>
  <c r="AZ11" i="8"/>
  <c r="AZ12" i="8"/>
  <c r="AZ13" i="8"/>
  <c r="AZ14" i="8"/>
  <c r="AZ15" i="8"/>
  <c r="AZ16" i="8"/>
  <c r="AZ17" i="8"/>
  <c r="AZ18" i="8"/>
  <c r="AZ19" i="8"/>
  <c r="AZ20" i="8"/>
  <c r="AZ21" i="8"/>
  <c r="AZ22" i="8"/>
  <c r="AZ23" i="8"/>
  <c r="AZ24" i="8"/>
  <c r="AZ25" i="8"/>
  <c r="AZ26" i="8"/>
  <c r="AZ27" i="8"/>
  <c r="AZ28" i="8"/>
  <c r="AZ29" i="8"/>
  <c r="AZ30" i="8"/>
  <c r="AZ31" i="8"/>
  <c r="AZ32" i="8"/>
  <c r="AZ33" i="8"/>
  <c r="AZ34" i="8"/>
  <c r="AZ35" i="8"/>
  <c r="AZ36" i="8"/>
  <c r="AZ37" i="8"/>
  <c r="AZ38" i="8"/>
  <c r="AZ39" i="8"/>
  <c r="AZ40" i="8"/>
  <c r="AZ41" i="8"/>
  <c r="AZ42" i="8"/>
  <c r="AZ43" i="8"/>
  <c r="AZ44" i="8"/>
  <c r="AZ45" i="8"/>
  <c r="AZ46" i="8"/>
  <c r="AZ47" i="8"/>
  <c r="AZ48" i="8"/>
  <c r="AZ49" i="8"/>
  <c r="AZ50" i="8"/>
  <c r="AZ51" i="8"/>
  <c r="AZ52" i="8"/>
  <c r="AZ53" i="8"/>
  <c r="AZ54" i="8"/>
  <c r="AZ55" i="8"/>
  <c r="AZ56" i="8"/>
  <c r="AZ57" i="8"/>
  <c r="AZ58" i="8"/>
  <c r="AZ2" i="8"/>
  <c r="BT3" i="8" l="1"/>
  <c r="BT4" i="8"/>
  <c r="BT5" i="8"/>
  <c r="BT6" i="8"/>
  <c r="BT7" i="8"/>
  <c r="BT8" i="8"/>
  <c r="BT9" i="8"/>
  <c r="BT10" i="8"/>
  <c r="BT11" i="8"/>
  <c r="BT12" i="8"/>
  <c r="BT13" i="8"/>
  <c r="BT14" i="8"/>
  <c r="BT15" i="8"/>
  <c r="BT16" i="8"/>
  <c r="BT17" i="8"/>
  <c r="BT18" i="8"/>
  <c r="BT19" i="8"/>
  <c r="BT20" i="8"/>
  <c r="BT21" i="8"/>
  <c r="BT22" i="8"/>
  <c r="BT23" i="8"/>
  <c r="BT24" i="8"/>
  <c r="BT25" i="8"/>
  <c r="BT26" i="8"/>
  <c r="BT27" i="8"/>
  <c r="BT28" i="8"/>
  <c r="BT29" i="8"/>
  <c r="BT30" i="8"/>
  <c r="BT31" i="8"/>
  <c r="BT32" i="8"/>
  <c r="BT33" i="8"/>
  <c r="BT34" i="8"/>
  <c r="BT35" i="8"/>
  <c r="BT36" i="8"/>
  <c r="BT37" i="8"/>
  <c r="BT38" i="8"/>
  <c r="BT39" i="8"/>
  <c r="BT40" i="8"/>
  <c r="BT41" i="8"/>
  <c r="BT42" i="8"/>
  <c r="BT43" i="8"/>
  <c r="BT44" i="8"/>
  <c r="BT45" i="8"/>
  <c r="BT46" i="8"/>
  <c r="BT47" i="8"/>
  <c r="BT48" i="8"/>
  <c r="BT49" i="8"/>
  <c r="BT50" i="8"/>
  <c r="BT51" i="8"/>
  <c r="BT52" i="8"/>
  <c r="BT53" i="8"/>
  <c r="BT54" i="8"/>
  <c r="BT55" i="8"/>
  <c r="BT56" i="8"/>
  <c r="BT57" i="8"/>
  <c r="BT58" i="8"/>
  <c r="BT2" i="8"/>
  <c r="BJ3" i="8"/>
  <c r="BJ4" i="8"/>
  <c r="BJ5" i="8"/>
  <c r="BJ6" i="8"/>
  <c r="BJ7" i="8"/>
  <c r="BJ8" i="8"/>
  <c r="BJ9" i="8"/>
  <c r="BJ10" i="8"/>
  <c r="BJ11" i="8"/>
  <c r="BJ12" i="8"/>
  <c r="BJ13" i="8"/>
  <c r="BJ14" i="8"/>
  <c r="BJ15" i="8"/>
  <c r="BJ16" i="8"/>
  <c r="BJ17" i="8"/>
  <c r="BJ18" i="8"/>
  <c r="BJ19" i="8"/>
  <c r="BJ20" i="8"/>
  <c r="BJ21" i="8"/>
  <c r="BJ22" i="8"/>
  <c r="BJ23" i="8"/>
  <c r="BJ24" i="8"/>
  <c r="BJ25" i="8"/>
  <c r="BJ26" i="8"/>
  <c r="BJ27" i="8"/>
  <c r="BJ28" i="8"/>
  <c r="BJ29" i="8"/>
  <c r="BJ30" i="8"/>
  <c r="BJ31" i="8"/>
  <c r="BJ32" i="8"/>
  <c r="BJ33" i="8"/>
  <c r="BJ34" i="8"/>
  <c r="BJ35" i="8"/>
  <c r="BJ36" i="8"/>
  <c r="BJ37" i="8"/>
  <c r="BJ38" i="8"/>
  <c r="BJ39" i="8"/>
  <c r="BJ40" i="8"/>
  <c r="BJ41" i="8"/>
  <c r="BJ42" i="8"/>
  <c r="BJ43" i="8"/>
  <c r="BJ44" i="8"/>
  <c r="BJ45" i="8"/>
  <c r="BJ46" i="8"/>
  <c r="BJ47" i="8"/>
  <c r="BJ48" i="8"/>
  <c r="BJ49" i="8"/>
  <c r="BJ50" i="8"/>
  <c r="BJ51" i="8"/>
  <c r="BJ52" i="8"/>
  <c r="BJ53" i="8"/>
  <c r="BJ54" i="8"/>
  <c r="BJ55" i="8"/>
  <c r="BJ56" i="8"/>
  <c r="BJ57" i="8"/>
  <c r="BJ58" i="8"/>
  <c r="BE3" i="8"/>
  <c r="BE4" i="8"/>
  <c r="BE5" i="8"/>
  <c r="BE6" i="8"/>
  <c r="BE7" i="8"/>
  <c r="BE8" i="8"/>
  <c r="BE9" i="8"/>
  <c r="BE10" i="8"/>
  <c r="BE11" i="8"/>
  <c r="BE12" i="8"/>
  <c r="BE13" i="8"/>
  <c r="BE14" i="8"/>
  <c r="BE15" i="8"/>
  <c r="BE16" i="8"/>
  <c r="BE17" i="8"/>
  <c r="BE18" i="8"/>
  <c r="BE19" i="8"/>
  <c r="BE20" i="8"/>
  <c r="BE21" i="8"/>
  <c r="BE22" i="8"/>
  <c r="BE23" i="8"/>
  <c r="BE24" i="8"/>
  <c r="BE25" i="8"/>
  <c r="BE26" i="8"/>
  <c r="BE27" i="8"/>
  <c r="BE28" i="8"/>
  <c r="BE29" i="8"/>
  <c r="BE30" i="8"/>
  <c r="BE31" i="8"/>
  <c r="BE32" i="8"/>
  <c r="BE33" i="8"/>
  <c r="BE34" i="8"/>
  <c r="BE35" i="8"/>
  <c r="BE36" i="8"/>
  <c r="BE37" i="8"/>
  <c r="BE38" i="8"/>
  <c r="BE39" i="8"/>
  <c r="BE40" i="8"/>
  <c r="BE41" i="8"/>
  <c r="BE42" i="8"/>
  <c r="BE43" i="8"/>
  <c r="BE44" i="8"/>
  <c r="BE45" i="8"/>
  <c r="BE46" i="8"/>
  <c r="BE47" i="8"/>
  <c r="BE48" i="8"/>
  <c r="BE49" i="8"/>
  <c r="BE50" i="8"/>
  <c r="BE51" i="8"/>
  <c r="BE52" i="8"/>
  <c r="BE53" i="8"/>
  <c r="BE54" i="8"/>
  <c r="BE55" i="8"/>
  <c r="BE56" i="8"/>
  <c r="BE57" i="8"/>
  <c r="BE58" i="8"/>
  <c r="BE2" i="8"/>
  <c r="BJ2" i="8"/>
  <c r="BO4" i="8"/>
  <c r="BO5" i="8"/>
  <c r="BO6" i="8"/>
  <c r="BO7" i="8"/>
  <c r="BO8" i="8"/>
  <c r="BO9" i="8"/>
  <c r="BO10" i="8"/>
  <c r="BO11" i="8"/>
  <c r="BO12" i="8"/>
  <c r="BO13" i="8"/>
  <c r="BO14" i="8"/>
  <c r="BO15" i="8"/>
  <c r="BO16" i="8"/>
  <c r="BO17" i="8"/>
  <c r="BO18" i="8"/>
  <c r="BO19" i="8"/>
  <c r="BO20" i="8"/>
  <c r="BO21" i="8"/>
  <c r="BO22" i="8"/>
  <c r="BO23" i="8"/>
  <c r="BO24" i="8"/>
  <c r="BO25" i="8"/>
  <c r="BO26" i="8"/>
  <c r="BO27" i="8"/>
  <c r="BO28" i="8"/>
  <c r="BO29" i="8"/>
  <c r="BO30" i="8"/>
  <c r="BO31" i="8"/>
  <c r="BO32" i="8"/>
  <c r="BO33" i="8"/>
  <c r="BO34" i="8"/>
  <c r="BO35" i="8"/>
  <c r="BO36" i="8"/>
  <c r="BO37" i="8"/>
  <c r="BO38" i="8"/>
  <c r="BO39" i="8"/>
  <c r="BO40" i="8"/>
  <c r="BO41" i="8"/>
  <c r="BO42" i="8"/>
  <c r="BO43" i="8"/>
  <c r="BO44" i="8"/>
  <c r="BO45" i="8"/>
  <c r="BO46" i="8"/>
  <c r="BO47" i="8"/>
  <c r="BO48" i="8"/>
  <c r="BO49" i="8"/>
  <c r="BO50" i="8"/>
  <c r="BO51" i="8"/>
  <c r="BO52" i="8"/>
  <c r="BO53" i="8"/>
  <c r="BO54" i="8"/>
  <c r="BO55" i="8"/>
  <c r="BO56" i="8"/>
  <c r="BO57" i="8"/>
  <c r="BO58" i="8"/>
  <c r="BO3" i="8"/>
  <c r="BO2" i="8"/>
  <c r="G39" i="8" l="1"/>
  <c r="G43" i="8"/>
  <c r="G32" i="8" l="1"/>
  <c r="G7" i="8" l="1"/>
  <c r="G2" i="8" l="1"/>
  <c r="G3" i="8"/>
  <c r="G4" i="8"/>
  <c r="G5" i="8" l="1"/>
  <c r="G6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3" i="8"/>
  <c r="G34" i="8"/>
  <c r="G35" i="8"/>
  <c r="G36" i="8"/>
  <c r="G37" i="8"/>
  <c r="G38" i="8"/>
  <c r="G40" i="8"/>
  <c r="G42" i="8"/>
  <c r="G41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CH6" i="14" l="1"/>
  <c r="CG6" i="14"/>
  <c r="CF6" i="14"/>
  <c r="CE6" i="14"/>
</calcChain>
</file>

<file path=xl/sharedStrings.xml><?xml version="1.0" encoding="utf-8"?>
<sst xmlns="http://schemas.openxmlformats.org/spreadsheetml/2006/main" count="644" uniqueCount="292">
  <si>
    <t>Statin</t>
  </si>
  <si>
    <t>Sartan</t>
  </si>
  <si>
    <t>ID</t>
  </si>
  <si>
    <t>Diuretika</t>
    <phoneticPr fontId="1" type="noConversion"/>
  </si>
  <si>
    <t>ACE Hemmer</t>
    <phoneticPr fontId="1" type="noConversion"/>
  </si>
  <si>
    <t>Geschlecht</t>
  </si>
  <si>
    <t>Alter</t>
  </si>
  <si>
    <t>BMI</t>
  </si>
  <si>
    <t>Aspirin</t>
  </si>
  <si>
    <t>MINS</t>
  </si>
  <si>
    <t>Schlaganfall</t>
  </si>
  <si>
    <t>Kreatinin</t>
  </si>
  <si>
    <t>Troponin T</t>
  </si>
  <si>
    <t>Größe</t>
  </si>
  <si>
    <t>Gewicht</t>
  </si>
  <si>
    <t>ASA</t>
  </si>
  <si>
    <t>1=ja, 0=nein</t>
  </si>
  <si>
    <t>Koronarstent</t>
  </si>
  <si>
    <t>www.surgicalriskcalculator.com/miorcardiacarrest</t>
  </si>
  <si>
    <t>art Hypertonus</t>
  </si>
  <si>
    <t>Diabetes mellitus</t>
  </si>
  <si>
    <t>Rauchen</t>
  </si>
  <si>
    <t>Myokardinfarkt</t>
  </si>
  <si>
    <t>1=ja</t>
  </si>
  <si>
    <t>0=nein</t>
  </si>
  <si>
    <r>
      <t xml:space="preserve">BMI </t>
    </r>
    <r>
      <rPr>
        <b/>
        <sz val="10"/>
        <rFont val="Calibri"/>
        <family val="2"/>
      </rPr>
      <t>≥</t>
    </r>
    <r>
      <rPr>
        <b/>
        <sz val="10"/>
        <rFont val="Frutiger LT Std 47 Light Cn"/>
      </rPr>
      <t>25</t>
    </r>
  </si>
  <si>
    <t>CV Tod</t>
  </si>
  <si>
    <t>LEU-</t>
  </si>
  <si>
    <t>MICA:</t>
  </si>
  <si>
    <t>RCRI:</t>
  </si>
  <si>
    <t>NYHA:</t>
  </si>
  <si>
    <t>1,2,3,4,5,6</t>
  </si>
  <si>
    <t>Diabetes mell.</t>
  </si>
  <si>
    <t>Niereninsuff.</t>
  </si>
  <si>
    <t>pAVK</t>
  </si>
  <si>
    <t>Angina pectoris</t>
  </si>
  <si>
    <t>wann?</t>
  </si>
  <si>
    <t>Herzrhythmusstör.</t>
  </si>
  <si>
    <t>welche?</t>
  </si>
  <si>
    <t>Beta-Blocker</t>
  </si>
  <si>
    <t>andereHerzmedis</t>
  </si>
  <si>
    <t>Calciumantag.</t>
  </si>
  <si>
    <t>LSB</t>
  </si>
  <si>
    <t>Luftnot?</t>
  </si>
  <si>
    <t>wann</t>
  </si>
  <si>
    <t>welche</t>
  </si>
  <si>
    <t>schwere HRS</t>
  </si>
  <si>
    <t>30 Tage postOP Patientenakte</t>
  </si>
  <si>
    <t>30 Tage postOP Telefongespräch</t>
  </si>
  <si>
    <t>Thoraxschmerz</t>
  </si>
  <si>
    <t>VHF</t>
  </si>
  <si>
    <t>sek.Endpunkte</t>
  </si>
  <si>
    <t>peripher Gefäßverschluss</t>
  </si>
  <si>
    <t>ADP-RezInhibitoren</t>
  </si>
  <si>
    <t>GP2b/3aHemmer</t>
  </si>
  <si>
    <t>Heparin</t>
  </si>
  <si>
    <t>NiedermolHeparin</t>
  </si>
  <si>
    <t>VitKAntagonist</t>
  </si>
  <si>
    <t>NoAKs</t>
  </si>
  <si>
    <t>prefunctStatus</t>
  </si>
  <si>
    <t>sek Endpunkt</t>
  </si>
  <si>
    <t>postOP2</t>
  </si>
  <si>
    <t>postOP3</t>
  </si>
  <si>
    <t>Myokardischämie</t>
  </si>
  <si>
    <t xml:space="preserve">Endpunkt 3 Tage postOP </t>
  </si>
  <si>
    <t>Post-OP Tag</t>
  </si>
  <si>
    <t>Diabetes Therapie</t>
  </si>
  <si>
    <t>Schwere Herzrhythmusstör</t>
  </si>
  <si>
    <t>Ursache</t>
  </si>
  <si>
    <t>Sonstiger Tod</t>
  </si>
  <si>
    <t>thromb./emb.Schlaganfall</t>
  </si>
  <si>
    <t>fokneur Defizit</t>
  </si>
  <si>
    <t>1. PostOP Tag</t>
  </si>
  <si>
    <t>2. PostOP Tag</t>
  </si>
  <si>
    <t>3. PostOP Tag</t>
  </si>
  <si>
    <t>postOP Tag</t>
  </si>
  <si>
    <t>MINS (&gt;=50ng/l; +50%)</t>
  </si>
  <si>
    <t>präOP</t>
  </si>
  <si>
    <t xml:space="preserve">Prä-OP Tag </t>
  </si>
  <si>
    <t>ANAMNESEN</t>
  </si>
  <si>
    <t>prim.Endpunkt</t>
  </si>
  <si>
    <t>kard.Dekomp</t>
  </si>
  <si>
    <t>kard.Dekompensation</t>
  </si>
  <si>
    <t>was?</t>
  </si>
  <si>
    <t>postOPTag</t>
  </si>
  <si>
    <t>Z.n. kard Dekomp</t>
  </si>
  <si>
    <t>Narkotikum</t>
  </si>
  <si>
    <t>Opioid</t>
  </si>
  <si>
    <t>Relaxans</t>
  </si>
  <si>
    <t>Gas</t>
  </si>
  <si>
    <t>LokalA</t>
  </si>
  <si>
    <t xml:space="preserve">postOP1 </t>
  </si>
  <si>
    <t>was</t>
  </si>
  <si>
    <t xml:space="preserve">Myokardinfarkt </t>
  </si>
  <si>
    <t>preOP</t>
  </si>
  <si>
    <t>pg/ml</t>
  </si>
  <si>
    <t>NT-ProBNP</t>
  </si>
  <si>
    <t>1. endpunkt</t>
  </si>
  <si>
    <t>2. Endpunkt</t>
  </si>
  <si>
    <t>3. Endpunkt</t>
  </si>
  <si>
    <t>1. sekEndpukt</t>
  </si>
  <si>
    <t>2. sekEndpunkt</t>
  </si>
  <si>
    <t>HRS</t>
  </si>
  <si>
    <r>
      <rPr>
        <b/>
        <sz val="14"/>
        <rFont val="Frutiger LT Std 47 Light Cn"/>
      </rPr>
      <t xml:space="preserve">EKG #1 </t>
    </r>
    <r>
      <rPr>
        <b/>
        <sz val="10"/>
        <rFont val="Frutiger LT Std 47 Light Cn"/>
      </rPr>
      <t>präoperativ</t>
    </r>
  </si>
  <si>
    <r>
      <rPr>
        <b/>
        <sz val="14"/>
        <rFont val="Frutiger LT Std 47 Light Cn"/>
      </rPr>
      <t xml:space="preserve">EKG #2 </t>
    </r>
    <r>
      <rPr>
        <b/>
        <sz val="10"/>
        <rFont val="Frutiger LT Std 47 Light Cn"/>
      </rPr>
      <t>postoperativ</t>
    </r>
  </si>
  <si>
    <t>ST-Strecke</t>
  </si>
  <si>
    <t>T-Welle</t>
  </si>
  <si>
    <t>1=ja; 0=nein</t>
  </si>
  <si>
    <t>Wo?</t>
  </si>
  <si>
    <t>patholog. Q</t>
  </si>
  <si>
    <t>Schmerzpatinet</t>
  </si>
  <si>
    <t>PDK, PDA, PCA</t>
  </si>
  <si>
    <t>Schmerzskala</t>
  </si>
  <si>
    <t>nein=0, ja=1, k.A.=2</t>
  </si>
  <si>
    <t>nein=0, ja=1</t>
  </si>
  <si>
    <t>1 R/B</t>
  </si>
  <si>
    <t>1. pOP R/B</t>
  </si>
  <si>
    <t>2.pOP R/B</t>
  </si>
  <si>
    <t>3.pOP R/B</t>
  </si>
  <si>
    <t>Symptome bei Herzinfarkt</t>
  </si>
  <si>
    <t>path.Q</t>
  </si>
  <si>
    <r>
      <rPr>
        <b/>
        <u/>
        <sz val="12"/>
        <rFont val="Frutiger LT Std 47 Light Cn"/>
      </rPr>
      <t>NEUE</t>
    </r>
    <r>
      <rPr>
        <b/>
        <sz val="11"/>
        <rFont val="Frutiger LT Std 47 Light Cn"/>
      </rPr>
      <t xml:space="preserve"> EKG Veränderungen</t>
    </r>
  </si>
  <si>
    <t>EKGs 1. Auswertung</t>
  </si>
  <si>
    <t>EKGs 2. Auswertung</t>
  </si>
  <si>
    <t>Unterschied 1./2. Auswertugn</t>
  </si>
  <si>
    <t>POD1</t>
  </si>
  <si>
    <r>
      <rPr>
        <sz val="10"/>
        <rFont val="Calibri"/>
        <family val="2"/>
      </rPr>
      <t>∆</t>
    </r>
    <r>
      <rPr>
        <sz val="8"/>
        <rFont val="Frutiger LT Std 47 Light Cn"/>
      </rPr>
      <t>PSEP</t>
    </r>
  </si>
  <si>
    <t>PSEP</t>
  </si>
  <si>
    <t>EINFUHR</t>
  </si>
  <si>
    <t>OP</t>
  </si>
  <si>
    <t>[ml]</t>
  </si>
  <si>
    <t>AWR</t>
  </si>
  <si>
    <t>MINS I</t>
  </si>
  <si>
    <t>VISION</t>
  </si>
  <si>
    <t>Thomas</t>
  </si>
  <si>
    <t>patients</t>
  </si>
  <si>
    <t>≥50ng/l with +50%</t>
  </si>
  <si>
    <t>20&lt;hscTnT&lt;65 + ≥5; ≥65</t>
  </si>
  <si>
    <t>≥14+50% with baseline &lt;53; ≥20% with baseline ≥53</t>
  </si>
  <si>
    <t>meeting all MINS criteria</t>
  </si>
  <si>
    <t>Legende</t>
  </si>
  <si>
    <t>0:&lt;25</t>
  </si>
  <si>
    <r>
      <t>1:</t>
    </r>
    <r>
      <rPr>
        <sz val="10"/>
        <rFont val="Calibri"/>
        <family val="2"/>
      </rPr>
      <t>≥25</t>
    </r>
  </si>
  <si>
    <t xml:space="preserve">Vorerkrankungen: </t>
  </si>
  <si>
    <t>0:DES</t>
  </si>
  <si>
    <t>1:BM</t>
  </si>
  <si>
    <t>2:unbekannt</t>
  </si>
  <si>
    <t>3:kein Stent</t>
  </si>
  <si>
    <r>
      <t>1=</t>
    </r>
    <r>
      <rPr>
        <sz val="10"/>
        <rFont val="Calibri"/>
        <family val="2"/>
      </rPr>
      <t>≥</t>
    </r>
    <r>
      <rPr>
        <sz val="8"/>
        <rFont val="Frutiger LT Std 47 Light Cn"/>
      </rPr>
      <t>1,5mg/dL</t>
    </r>
  </si>
  <si>
    <t>0:&lt;1,5mg/dl</t>
  </si>
  <si>
    <t>2: unbekannt</t>
  </si>
  <si>
    <t>prefunctional status</t>
  </si>
  <si>
    <t>0:totally independent</t>
  </si>
  <si>
    <t>1: partial dependent</t>
  </si>
  <si>
    <t>2: totally dependent</t>
  </si>
  <si>
    <t xml:space="preserve">Procedure site: </t>
  </si>
  <si>
    <t>anorectal</t>
  </si>
  <si>
    <t>aortic</t>
  </si>
  <si>
    <t>bariatric</t>
  </si>
  <si>
    <t>brain</t>
  </si>
  <si>
    <t>breast</t>
  </si>
  <si>
    <t>cardiac</t>
  </si>
  <si>
    <t>ENT (except thyroid, parathyroid)</t>
  </si>
  <si>
    <t>foregut/hepatopancreatobiliary</t>
  </si>
  <si>
    <t>gallbladder, appendix, adrenal and spleen</t>
  </si>
  <si>
    <t xml:space="preserve">hernia </t>
  </si>
  <si>
    <t>intestinal</t>
  </si>
  <si>
    <t>neck (thyroid/parathyroid)</t>
  </si>
  <si>
    <t>obstretic/gynecologic</t>
  </si>
  <si>
    <t>orthopedic and non-vascular extremity</t>
  </si>
  <si>
    <t>other abdominal</t>
  </si>
  <si>
    <t>peripheral vascular</t>
  </si>
  <si>
    <t>skin</t>
  </si>
  <si>
    <t>spine</t>
  </si>
  <si>
    <t>non-oesophageal thoracic</t>
  </si>
  <si>
    <t>vein</t>
  </si>
  <si>
    <t>urology</t>
  </si>
  <si>
    <t>Surgical Site</t>
  </si>
  <si>
    <t>Narkose:</t>
  </si>
  <si>
    <t>0: kein</t>
  </si>
  <si>
    <t>1:Sufentanil</t>
  </si>
  <si>
    <t>2:Remifentanil</t>
  </si>
  <si>
    <t>3:Piritramid</t>
  </si>
  <si>
    <t>0:kein</t>
  </si>
  <si>
    <t>1:Propofol</t>
  </si>
  <si>
    <t>2:Etomidat</t>
  </si>
  <si>
    <t>3:Ketamin</t>
  </si>
  <si>
    <t>1:Sevofluran</t>
  </si>
  <si>
    <t>2:Desfluran</t>
  </si>
  <si>
    <t>1:Rocuronium</t>
  </si>
  <si>
    <t>2:Cisatracurium</t>
  </si>
  <si>
    <t>3:Atracurium</t>
  </si>
  <si>
    <t>4:Mivacurium</t>
  </si>
  <si>
    <t>4:Lidocain</t>
  </si>
  <si>
    <t>1: Bupivacian</t>
  </si>
  <si>
    <t>2:Mepivacain</t>
  </si>
  <si>
    <t>3:Ropivacain</t>
  </si>
  <si>
    <t>1:Kammerflimmern</t>
  </si>
  <si>
    <t>2:AVBlockII Mobitz</t>
  </si>
  <si>
    <t>3: AVBlockII Wenkebach</t>
  </si>
  <si>
    <t>4: AVBlock III</t>
  </si>
  <si>
    <t>5:Ventrikuläre Tachykardie</t>
  </si>
  <si>
    <t>6: multiple polytope VES</t>
  </si>
  <si>
    <t>KDIGO</t>
  </si>
  <si>
    <r>
      <t>1:</t>
    </r>
    <r>
      <rPr>
        <sz val="10"/>
        <rFont val="Calibri"/>
        <family val="2"/>
      </rPr>
      <t>≥</t>
    </r>
    <r>
      <rPr>
        <sz val="10"/>
        <rFont val="Verdana"/>
        <family val="2"/>
      </rPr>
      <t>90</t>
    </r>
  </si>
  <si>
    <t>2: 60-89</t>
  </si>
  <si>
    <t>4:15-29</t>
  </si>
  <si>
    <t>3: 30-59</t>
  </si>
  <si>
    <t>5: &lt;15</t>
  </si>
  <si>
    <t>http://kdigo.org/wp-content/uploads/2017/02/2017-KDIGO-CKD-MBD-GL-Update.pdf</t>
  </si>
  <si>
    <t>Dauermedikation:</t>
  </si>
  <si>
    <t>Statin-Art</t>
  </si>
  <si>
    <t>1:Atorvastatin</t>
  </si>
  <si>
    <t>2:Simvastatin</t>
  </si>
  <si>
    <t>3:Pravastatin</t>
  </si>
  <si>
    <t>4: Fluvastatin</t>
  </si>
  <si>
    <t>5:Rosuvastatin</t>
  </si>
  <si>
    <t>Präoperative Messungen:</t>
  </si>
  <si>
    <t>RR, Hf</t>
  </si>
  <si>
    <t>erste Messung in Einleitung</t>
  </si>
  <si>
    <t>Kreatinin, GFR, CRP</t>
  </si>
  <si>
    <t>Farben-Legende</t>
  </si>
  <si>
    <r>
      <t xml:space="preserve">Blut oder EKG fehlt, weil Patient </t>
    </r>
    <r>
      <rPr>
        <b/>
        <sz val="10"/>
        <rFont val="Verdana"/>
        <family val="2"/>
      </rPr>
      <t xml:space="preserve">verweigerte </t>
    </r>
  </si>
  <si>
    <r>
      <t xml:space="preserve">Blut oder EKG fehlt, weil Patient </t>
    </r>
    <r>
      <rPr>
        <b/>
        <sz val="10"/>
        <rFont val="Verdana"/>
        <family val="2"/>
      </rPr>
      <t xml:space="preserve">entlassen </t>
    </r>
    <r>
      <rPr>
        <sz val="10"/>
        <rFont val="Verdana"/>
        <family val="2"/>
      </rPr>
      <t xml:space="preserve">wurde </t>
    </r>
  </si>
  <si>
    <r>
      <t xml:space="preserve">Blut oder EKG fehlt, weil Patient </t>
    </r>
    <r>
      <rPr>
        <b/>
        <sz val="10"/>
        <rFont val="Verdana"/>
        <family val="2"/>
      </rPr>
      <t>gestorben</t>
    </r>
    <r>
      <rPr>
        <sz val="10"/>
        <rFont val="Verdana"/>
        <family val="2"/>
      </rPr>
      <t xml:space="preserve"> ist</t>
    </r>
  </si>
  <si>
    <t>Wert fehlt, weil nicht bestimmt oder nicht zu finden</t>
  </si>
  <si>
    <t xml:space="preserve">Angina pectoris </t>
  </si>
  <si>
    <t>1:stabil</t>
  </si>
  <si>
    <t>2: instabil</t>
  </si>
  <si>
    <t>1: Typ 1</t>
  </si>
  <si>
    <t>2.Typ 2</t>
  </si>
  <si>
    <t>Dm-Therapie</t>
  </si>
  <si>
    <t>1:Diät</t>
  </si>
  <si>
    <t>2:oral</t>
  </si>
  <si>
    <t>3:Insulin</t>
  </si>
  <si>
    <t>0:nicht</t>
  </si>
  <si>
    <t>1:aktiv</t>
  </si>
  <si>
    <t>2:aufgehört</t>
  </si>
  <si>
    <t>OP-Risiko(ACC/AHA Guidelines)</t>
  </si>
  <si>
    <t>1:geringes Risiko (endoscopic, superficial, breast, cataract)</t>
  </si>
  <si>
    <t>2:mittleres Risiko (CarotisTEA, head/neck, intraperitoneal, intrathoracic, orthopedic, prostate)</t>
  </si>
  <si>
    <t>3:hohes Risiko (aortic, peripheral vascular surgery, OP with large blood loss)</t>
  </si>
  <si>
    <t>Risiko ESC 2014</t>
  </si>
  <si>
    <t>letzte Routine-Messung vor OP</t>
  </si>
  <si>
    <t>Sevofluran</t>
  </si>
  <si>
    <t>Esketamin</t>
  </si>
  <si>
    <t>Etomidat</t>
  </si>
  <si>
    <t>Fentanyl</t>
  </si>
  <si>
    <t>Midazolam</t>
  </si>
  <si>
    <t>Propofol</t>
  </si>
  <si>
    <t>Remifentanil</t>
  </si>
  <si>
    <t>Sufentanil</t>
  </si>
  <si>
    <t>Akrinor</t>
  </si>
  <si>
    <t>Dobutamin</t>
  </si>
  <si>
    <t>Noradrenalin</t>
  </si>
  <si>
    <t>Suprarenin</t>
  </si>
  <si>
    <t>Ischämietypische</t>
  </si>
  <si>
    <t>Luftnot</t>
  </si>
  <si>
    <t>Neues neurologisches</t>
  </si>
  <si>
    <t>Zeichen kardialer</t>
  </si>
  <si>
    <t>LVF</t>
  </si>
  <si>
    <t>Cardiac</t>
  </si>
  <si>
    <t>x</t>
  </si>
  <si>
    <t>0.8</t>
  </si>
  <si>
    <t xml:space="preserve">Apixaban </t>
  </si>
  <si>
    <t>Bblocker_abgesetzt</t>
  </si>
  <si>
    <t>T0_syst</t>
  </si>
  <si>
    <t>T0_diast</t>
  </si>
  <si>
    <t>TO_Hf</t>
  </si>
  <si>
    <t>TO_MAP</t>
  </si>
  <si>
    <t>T1_syst</t>
  </si>
  <si>
    <t>T1_diast</t>
  </si>
  <si>
    <t>T!_Hf</t>
  </si>
  <si>
    <t>T!_MAP</t>
  </si>
  <si>
    <t>T2_sys</t>
  </si>
  <si>
    <t>T2_diast</t>
  </si>
  <si>
    <t>T2_Hf</t>
  </si>
  <si>
    <t>T2_Sevofluran</t>
  </si>
  <si>
    <t>T1_Sevofluran</t>
  </si>
  <si>
    <t>T2_MAP</t>
  </si>
  <si>
    <t>T3_syst</t>
  </si>
  <si>
    <t>T3_diast</t>
  </si>
  <si>
    <t>T3_Hf</t>
  </si>
  <si>
    <t>T3_Sevofluran</t>
  </si>
  <si>
    <t>T3_MAP</t>
  </si>
  <si>
    <t>T4_syst</t>
  </si>
  <si>
    <t>T4_diast</t>
  </si>
  <si>
    <t>T4_Hf</t>
  </si>
  <si>
    <t>T4_Sevofluran</t>
  </si>
  <si>
    <t>T4_MAP</t>
  </si>
  <si>
    <t>Narkose</t>
  </si>
  <si>
    <t>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</si>
</sst>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€_-;\-* #,##0.00\ _€_-;_-* &quot;-&quot;??\ _€_-;_-@_-"/>
    <numFmt numFmtId="165" formatCode="0.0"/>
  </numFmts>
  <fonts count="36">
    <font>
      <sz val="10"/>
      <name val="Verdana"/>
    </font>
    <font>
      <sz val="8"/>
      <name val="Verdana"/>
      <family val="2"/>
    </font>
    <font>
      <b/>
      <sz val="10"/>
      <name val="Frutiger LT Std 47 Light Cn"/>
    </font>
    <font>
      <sz val="10"/>
      <name val="Frutiger LT Std 47 Light Cn"/>
    </font>
    <font>
      <u/>
      <sz val="10"/>
      <color theme="10"/>
      <name val="Verdana"/>
      <family val="2"/>
    </font>
    <font>
      <u/>
      <sz val="10"/>
      <color theme="11"/>
      <name val="Verdana"/>
      <family val="2"/>
    </font>
    <font>
      <strike/>
      <sz val="10"/>
      <name val="Frutiger LT Std 47 Light Cn"/>
    </font>
    <font>
      <b/>
      <sz val="11"/>
      <name val="Frutiger LT Std 47 Light Cn"/>
    </font>
    <font>
      <b/>
      <strike/>
      <sz val="10"/>
      <color rgb="FFFF0000"/>
      <name val="Frutiger LT Std 47 Light Cn"/>
    </font>
    <font>
      <strike/>
      <sz val="10"/>
      <color rgb="FFFF0000"/>
      <name val="Frutiger LT Std 47 Light Cn"/>
    </font>
    <font>
      <sz val="10"/>
      <name val="Calibri"/>
      <family val="2"/>
    </font>
    <font>
      <sz val="10"/>
      <name val="Verdana"/>
      <family val="2"/>
    </font>
    <font>
      <b/>
      <sz val="10"/>
      <name val="Verdana"/>
      <family val="2"/>
    </font>
    <font>
      <b/>
      <sz val="12"/>
      <color rgb="FFFF0000"/>
      <name val="Frutiger LT Std 47 Light Cn"/>
    </font>
    <font>
      <u/>
      <sz val="10"/>
      <color theme="10"/>
      <name val="Verdana"/>
      <family val="2"/>
    </font>
    <font>
      <b/>
      <sz val="10"/>
      <name val="Calibri"/>
      <family val="2"/>
    </font>
    <font>
      <b/>
      <u/>
      <sz val="11"/>
      <name val="Frutiger LT Std 47 Light Cn"/>
    </font>
    <font>
      <b/>
      <u/>
      <sz val="10"/>
      <name val="Frutiger LT Std 47 Light Cn"/>
    </font>
    <font>
      <sz val="8"/>
      <name val="Frutiger LT Std 47 Light Cn"/>
    </font>
    <font>
      <sz val="9"/>
      <name val="Frutiger LT Std 47 Light Cn"/>
    </font>
    <font>
      <b/>
      <u/>
      <sz val="14"/>
      <color rgb="FFFF0000"/>
      <name val="Frutiger LT Std 47 Light Cn"/>
    </font>
    <font>
      <b/>
      <sz val="11"/>
      <color rgb="FFFF0000"/>
      <name val="Frutiger LT Std 47 Light Cn"/>
    </font>
    <font>
      <b/>
      <u/>
      <sz val="14"/>
      <color rgb="FFC00000"/>
      <name val="Frutiger LT Std 47 Light Cn"/>
    </font>
    <font>
      <b/>
      <sz val="16"/>
      <color rgb="FFFF0000"/>
      <name val="Frutiger LT Std 47 Light Cn"/>
    </font>
    <font>
      <sz val="11"/>
      <color rgb="FF9C0006"/>
      <name val="Calibri"/>
      <family val="2"/>
      <scheme val="minor"/>
    </font>
    <font>
      <b/>
      <sz val="14"/>
      <name val="Frutiger LT Std 47 Light Cn"/>
    </font>
    <font>
      <b/>
      <u/>
      <sz val="12"/>
      <name val="Frutiger LT Std 47 Light Cn"/>
    </font>
    <font>
      <sz val="10"/>
      <name val="Verdana"/>
      <family val="2"/>
    </font>
    <font>
      <b/>
      <u/>
      <sz val="11"/>
      <color rgb="FFFF0000"/>
      <name val="Verdana"/>
      <family val="2"/>
    </font>
    <font>
      <b/>
      <sz val="11"/>
      <name val="Verdana"/>
      <family val="2"/>
    </font>
    <font>
      <b/>
      <sz val="11"/>
      <color theme="1"/>
      <name val="Verdana"/>
      <family val="2"/>
    </font>
    <font>
      <sz val="10"/>
      <color theme="1"/>
      <name val="Verdana"/>
      <family val="2"/>
    </font>
    <font>
      <b/>
      <u/>
      <sz val="12"/>
      <name val="Verdana"/>
      <family val="2"/>
    </font>
    <font>
      <b/>
      <u/>
      <sz val="12"/>
      <color theme="1"/>
      <name val="Verdana"/>
      <family val="2"/>
    </font>
    <font>
      <b/>
      <sz val="12"/>
      <name val="Verdana"/>
      <family val="2"/>
    </font>
    <font>
      <sz val="10"/>
      <color rgb="FF595959"/>
      <name val="Verdana"/>
      <family val="2"/>
    </font>
  </fonts>
  <fills count="26">
    <fill>
      <patternFill patternType="none"/>
    </fill>
    <fill>
      <patternFill patternType="gray125"/>
    </fill>
    <fill>
      <patternFill patternType="solid">
        <fgColor rgb="FFFCF305"/>
        <bgColor rgb="FF000000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4" tint="0.59999389629810485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39997558519241921"/>
        <bgColor rgb="FF000000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C7CE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theme="3" tint="0.59999389629810485"/>
        <bgColor rgb="FF000000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ck">
        <color rgb="FFC00000"/>
      </left>
      <right/>
      <top style="thick">
        <color rgb="FFC00000"/>
      </top>
      <bottom/>
      <diagonal/>
    </border>
    <border>
      <left/>
      <right/>
      <top style="thick">
        <color rgb="FFC00000"/>
      </top>
      <bottom/>
      <diagonal/>
    </border>
    <border>
      <left/>
      <right style="thick">
        <color rgb="FFC00000"/>
      </right>
      <top style="thick">
        <color rgb="FFC00000"/>
      </top>
      <bottom/>
      <diagonal/>
    </border>
    <border>
      <left style="thick">
        <color rgb="FFC00000"/>
      </left>
      <right/>
      <top/>
      <bottom/>
      <diagonal/>
    </border>
    <border>
      <left/>
      <right style="thick">
        <color rgb="FFC00000"/>
      </right>
      <top/>
      <bottom/>
      <diagonal/>
    </border>
    <border>
      <left style="thick">
        <color rgb="FFC00000"/>
      </left>
      <right/>
      <top/>
      <bottom style="thick">
        <color rgb="FFC00000"/>
      </bottom>
      <diagonal/>
    </border>
    <border>
      <left/>
      <right/>
      <top/>
      <bottom style="thick">
        <color rgb="FFC00000"/>
      </bottom>
      <diagonal/>
    </border>
    <border>
      <left/>
      <right style="thick">
        <color rgb="FFC00000"/>
      </right>
      <top/>
      <bottom style="thick">
        <color rgb="FFC00000"/>
      </bottom>
      <diagonal/>
    </border>
    <border>
      <left style="thick">
        <color rgb="FFC00000"/>
      </left>
      <right style="thick">
        <color rgb="FFC00000"/>
      </right>
      <top style="thick">
        <color rgb="FFC00000"/>
      </top>
      <bottom/>
      <diagonal/>
    </border>
    <border>
      <left style="thick">
        <color rgb="FFC00000"/>
      </left>
      <right style="thick">
        <color rgb="FFC00000"/>
      </right>
      <top/>
      <bottom/>
      <diagonal/>
    </border>
    <border>
      <left style="thick">
        <color rgb="FFC00000"/>
      </left>
      <right style="thick">
        <color rgb="FFC00000"/>
      </right>
      <top/>
      <bottom style="thick">
        <color rgb="FFC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155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24" fillId="18" borderId="0" applyNumberFormat="0" applyBorder="0" applyAlignment="0" applyProtection="0"/>
    <xf numFmtId="0" fontId="11" fillId="0" borderId="0"/>
    <xf numFmtId="0" fontId="4" fillId="0" borderId="0" applyNumberFormat="0" applyFill="0" applyBorder="0" applyAlignment="0" applyProtection="0"/>
    <xf numFmtId="164" fontId="11" fillId="0" borderId="0" applyFont="0" applyFill="0" applyBorder="0" applyAlignment="0" applyProtection="0"/>
    <xf numFmtId="0" fontId="27" fillId="0" borderId="0"/>
  </cellStyleXfs>
  <cellXfs count="154">
    <xf numFmtId="0" fontId="0" fillId="0" borderId="0" xfId="0"/>
    <xf numFmtId="0" fontId="3" fillId="0" borderId="0" xfId="0" applyFont="1"/>
    <xf numFmtId="0" fontId="2" fillId="0" borderId="0" xfId="0" applyFont="1"/>
    <xf numFmtId="0" fontId="3" fillId="0" borderId="0" xfId="0" applyFont="1" applyAlignment="1">
      <alignment horizontal="right"/>
    </xf>
    <xf numFmtId="0" fontId="6" fillId="0" borderId="0" xfId="0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0" fontId="2" fillId="2" borderId="0" xfId="0" applyFont="1" applyFill="1"/>
    <xf numFmtId="0" fontId="3" fillId="2" borderId="0" xfId="0" applyFont="1" applyFill="1"/>
    <xf numFmtId="0" fontId="8" fillId="0" borderId="0" xfId="0" applyFont="1"/>
    <xf numFmtId="0" fontId="9" fillId="0" borderId="0" xfId="0" applyFont="1"/>
    <xf numFmtId="0" fontId="12" fillId="0" borderId="0" xfId="0" applyFont="1"/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14" fillId="0" borderId="0" xfId="149"/>
    <xf numFmtId="0" fontId="11" fillId="0" borderId="0" xfId="0" applyFont="1"/>
    <xf numFmtId="0" fontId="2" fillId="7" borderId="0" xfId="0" applyFont="1" applyFill="1"/>
    <xf numFmtId="0" fontId="2" fillId="9" borderId="0" xfId="0" applyFont="1" applyFill="1"/>
    <xf numFmtId="0" fontId="16" fillId="8" borderId="0" xfId="0" applyFont="1" applyFill="1"/>
    <xf numFmtId="0" fontId="17" fillId="8" borderId="0" xfId="0" applyFont="1" applyFill="1"/>
    <xf numFmtId="0" fontId="17" fillId="9" borderId="0" xfId="0" applyFont="1" applyFill="1"/>
    <xf numFmtId="0" fontId="2" fillId="7" borderId="0" xfId="0" applyFont="1" applyFill="1" applyAlignment="1">
      <alignment horizontal="left"/>
    </xf>
    <xf numFmtId="0" fontId="2" fillId="10" borderId="0" xfId="0" applyFont="1" applyFill="1"/>
    <xf numFmtId="0" fontId="2" fillId="6" borderId="0" xfId="0" applyFont="1" applyFill="1"/>
    <xf numFmtId="0" fontId="19" fillId="6" borderId="0" xfId="0" applyFont="1" applyFill="1"/>
    <xf numFmtId="0" fontId="7" fillId="11" borderId="0" xfId="0" applyFont="1" applyFill="1"/>
    <xf numFmtId="0" fontId="2" fillId="12" borderId="0" xfId="0" applyFont="1" applyFill="1"/>
    <xf numFmtId="0" fontId="3" fillId="12" borderId="0" xfId="0" applyFont="1" applyFill="1"/>
    <xf numFmtId="0" fontId="2" fillId="13" borderId="0" xfId="0" applyFont="1" applyFill="1"/>
    <xf numFmtId="0" fontId="0" fillId="6" borderId="0" xfId="0" applyFill="1"/>
    <xf numFmtId="0" fontId="12" fillId="6" borderId="0" xfId="0" applyFont="1" applyFill="1"/>
    <xf numFmtId="0" fontId="2" fillId="6" borderId="1" xfId="0" applyFont="1" applyFill="1" applyBorder="1"/>
    <xf numFmtId="0" fontId="19" fillId="6" borderId="1" xfId="0" applyFont="1" applyFill="1" applyBorder="1"/>
    <xf numFmtId="0" fontId="3" fillId="0" borderId="1" xfId="0" applyFont="1" applyBorder="1"/>
    <xf numFmtId="0" fontId="0" fillId="0" borderId="1" xfId="0" applyBorder="1"/>
    <xf numFmtId="0" fontId="6" fillId="0" borderId="1" xfId="0" applyFont="1" applyBorder="1"/>
    <xf numFmtId="0" fontId="3" fillId="0" borderId="2" xfId="0" applyFont="1" applyBorder="1"/>
    <xf numFmtId="0" fontId="0" fillId="0" borderId="2" xfId="0" applyBorder="1"/>
    <xf numFmtId="0" fontId="9" fillId="0" borderId="2" xfId="0" applyFont="1" applyBorder="1"/>
    <xf numFmtId="0" fontId="2" fillId="10" borderId="2" xfId="0" applyFont="1" applyFill="1" applyBorder="1"/>
    <xf numFmtId="0" fontId="3" fillId="6" borderId="0" xfId="0" applyFont="1" applyFill="1"/>
    <xf numFmtId="0" fontId="21" fillId="11" borderId="0" xfId="0" applyFont="1" applyFill="1"/>
    <xf numFmtId="0" fontId="3" fillId="11" borderId="0" xfId="0" applyFont="1" applyFill="1"/>
    <xf numFmtId="0" fontId="13" fillId="11" borderId="0" xfId="0" applyFont="1" applyFill="1"/>
    <xf numFmtId="0" fontId="6" fillId="0" borderId="2" xfId="0" applyFont="1" applyBorder="1"/>
    <xf numFmtId="0" fontId="20" fillId="11" borderId="0" xfId="0" applyFont="1" applyFill="1"/>
    <xf numFmtId="0" fontId="2" fillId="13" borderId="1" xfId="0" applyFont="1" applyFill="1" applyBorder="1"/>
    <xf numFmtId="0" fontId="3" fillId="12" borderId="1" xfId="0" applyFont="1" applyFill="1" applyBorder="1"/>
    <xf numFmtId="0" fontId="2" fillId="0" borderId="1" xfId="0" applyFont="1" applyBorder="1"/>
    <xf numFmtId="0" fontId="9" fillId="0" borderId="1" xfId="0" applyFont="1" applyBorder="1"/>
    <xf numFmtId="0" fontId="20" fillId="11" borderId="1" xfId="0" applyFont="1" applyFill="1" applyBorder="1"/>
    <xf numFmtId="0" fontId="2" fillId="12" borderId="2" xfId="0" applyFont="1" applyFill="1" applyBorder="1"/>
    <xf numFmtId="0" fontId="2" fillId="0" borderId="2" xfId="0" applyFont="1" applyBorder="1"/>
    <xf numFmtId="0" fontId="2" fillId="6" borderId="0" xfId="0" applyFont="1" applyFill="1" applyAlignment="1">
      <alignment horizontal="center" wrapText="1"/>
    </xf>
    <xf numFmtId="0" fontId="9" fillId="6" borderId="0" xfId="0" applyFont="1" applyFill="1"/>
    <xf numFmtId="0" fontId="3" fillId="6" borderId="0" xfId="0" applyFont="1" applyFill="1" applyAlignment="1">
      <alignment horizontal="left" vertical="center" wrapText="1"/>
    </xf>
    <xf numFmtId="0" fontId="7" fillId="0" borderId="0" xfId="0" applyFont="1"/>
    <xf numFmtId="0" fontId="22" fillId="12" borderId="1" xfId="0" applyFont="1" applyFill="1" applyBorder="1"/>
    <xf numFmtId="0" fontId="3" fillId="0" borderId="3" xfId="0" applyFont="1" applyBorder="1"/>
    <xf numFmtId="0" fontId="0" fillId="15" borderId="0" xfId="0" applyFill="1"/>
    <xf numFmtId="0" fontId="19" fillId="0" borderId="0" xfId="0" applyFont="1"/>
    <xf numFmtId="0" fontId="2" fillId="6" borderId="4" xfId="0" applyFont="1" applyFill="1" applyBorder="1"/>
    <xf numFmtId="0" fontId="2" fillId="6" borderId="5" xfId="0" applyFont="1" applyFill="1" applyBorder="1"/>
    <xf numFmtId="0" fontId="2" fillId="6" borderId="5" xfId="0" applyFont="1" applyFill="1" applyBorder="1" applyAlignment="1">
      <alignment horizontal="left" vertical="center"/>
    </xf>
    <xf numFmtId="0" fontId="2" fillId="6" borderId="5" xfId="0" applyFont="1" applyFill="1" applyBorder="1" applyAlignment="1">
      <alignment horizontal="center" vertical="center" wrapText="1"/>
    </xf>
    <xf numFmtId="0" fontId="2" fillId="6" borderId="5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 wrapText="1"/>
    </xf>
    <xf numFmtId="0" fontId="19" fillId="6" borderId="7" xfId="0" applyFont="1" applyFill="1" applyBorder="1"/>
    <xf numFmtId="0" fontId="3" fillId="6" borderId="8" xfId="0" applyFont="1" applyFill="1" applyBorder="1" applyAlignment="1">
      <alignment horizontal="left" vertical="center" wrapText="1"/>
    </xf>
    <xf numFmtId="0" fontId="2" fillId="6" borderId="6" xfId="0" applyFont="1" applyFill="1" applyBorder="1"/>
    <xf numFmtId="0" fontId="19" fillId="6" borderId="8" xfId="0" applyFont="1" applyFill="1" applyBorder="1"/>
    <xf numFmtId="0" fontId="19" fillId="6" borderId="9" xfId="0" applyFont="1" applyFill="1" applyBorder="1"/>
    <xf numFmtId="0" fontId="19" fillId="6" borderId="10" xfId="0" applyFont="1" applyFill="1" applyBorder="1"/>
    <xf numFmtId="0" fontId="19" fillId="6" borderId="11" xfId="0" applyFont="1" applyFill="1" applyBorder="1"/>
    <xf numFmtId="0" fontId="21" fillId="11" borderId="12" xfId="0" applyFont="1" applyFill="1" applyBorder="1"/>
    <xf numFmtId="0" fontId="3" fillId="11" borderId="13" xfId="0" applyFont="1" applyFill="1" applyBorder="1"/>
    <xf numFmtId="0" fontId="3" fillId="11" borderId="14" xfId="0" applyFont="1" applyFill="1" applyBorder="1"/>
    <xf numFmtId="0" fontId="23" fillId="0" borderId="1" xfId="0" applyFont="1" applyBorder="1"/>
    <xf numFmtId="0" fontId="23" fillId="0" borderId="0" xfId="0" applyFont="1"/>
    <xf numFmtId="0" fontId="0" fillId="16" borderId="0" xfId="0" applyFill="1"/>
    <xf numFmtId="0" fontId="3" fillId="0" borderId="0" xfId="0" applyFont="1" applyAlignment="1">
      <alignment horizontal="left"/>
    </xf>
    <xf numFmtId="0" fontId="3" fillId="6" borderId="0" xfId="0" applyFont="1" applyFill="1" applyAlignment="1">
      <alignment horizontal="left"/>
    </xf>
    <xf numFmtId="0" fontId="3" fillId="6" borderId="0" xfId="0" applyFont="1" applyFill="1" applyAlignment="1">
      <alignment horizontal="left" vertical="center"/>
    </xf>
    <xf numFmtId="0" fontId="0" fillId="17" borderId="0" xfId="0" applyFill="1"/>
    <xf numFmtId="0" fontId="11" fillId="6" borderId="0" xfId="0" applyFont="1" applyFill="1"/>
    <xf numFmtId="0" fontId="2" fillId="13" borderId="2" xfId="0" applyFont="1" applyFill="1" applyBorder="1"/>
    <xf numFmtId="0" fontId="3" fillId="12" borderId="2" xfId="0" applyFont="1" applyFill="1" applyBorder="1"/>
    <xf numFmtId="0" fontId="0" fillId="0" borderId="0" xfId="0" applyAlignment="1">
      <alignment horizontal="left"/>
    </xf>
    <xf numFmtId="0" fontId="9" fillId="0" borderId="0" xfId="0" applyFont="1" applyAlignment="1">
      <alignment horizontal="left"/>
    </xf>
    <xf numFmtId="0" fontId="21" fillId="6" borderId="0" xfId="0" applyFont="1" applyFill="1"/>
    <xf numFmtId="0" fontId="21" fillId="6" borderId="0" xfId="0" applyFont="1" applyFill="1" applyAlignment="1">
      <alignment horizontal="left"/>
    </xf>
    <xf numFmtId="0" fontId="2" fillId="8" borderId="0" xfId="0" applyFont="1" applyFill="1" applyAlignment="1">
      <alignment horizontal="left"/>
    </xf>
    <xf numFmtId="0" fontId="0" fillId="19" borderId="0" xfId="0" applyFill="1"/>
    <xf numFmtId="0" fontId="18" fillId="12" borderId="15" xfId="0" applyFont="1" applyFill="1" applyBorder="1"/>
    <xf numFmtId="0" fontId="9" fillId="0" borderId="15" xfId="0" applyFont="1" applyBorder="1"/>
    <xf numFmtId="0" fontId="2" fillId="0" borderId="15" xfId="0" applyFont="1" applyBorder="1"/>
    <xf numFmtId="0" fontId="3" fillId="0" borderId="15" xfId="0" applyFont="1" applyBorder="1"/>
    <xf numFmtId="0" fontId="0" fillId="0" borderId="15" xfId="0" applyBorder="1"/>
    <xf numFmtId="0" fontId="2" fillId="13" borderId="15" xfId="0" applyFont="1" applyFill="1" applyBorder="1"/>
    <xf numFmtId="165" fontId="2" fillId="4" borderId="0" xfId="0" applyNumberFormat="1" applyFont="1" applyFill="1"/>
    <xf numFmtId="165" fontId="3" fillId="0" borderId="0" xfId="0" applyNumberFormat="1" applyFont="1"/>
    <xf numFmtId="1" fontId="0" fillId="0" borderId="0" xfId="0" applyNumberFormat="1"/>
    <xf numFmtId="1" fontId="3" fillId="0" borderId="0" xfId="0" applyNumberFormat="1" applyFont="1" applyAlignment="1">
      <alignment horizontal="center"/>
    </xf>
    <xf numFmtId="1" fontId="0" fillId="6" borderId="0" xfId="0" applyNumberFormat="1" applyFill="1"/>
    <xf numFmtId="0" fontId="2" fillId="6" borderId="0" xfId="0" applyFont="1" applyFill="1" applyAlignment="1">
      <alignment horizontal="left"/>
    </xf>
    <xf numFmtId="0" fontId="2" fillId="7" borderId="0" xfId="0" applyFont="1" applyFill="1" applyAlignment="1">
      <alignment horizontal="right"/>
    </xf>
    <xf numFmtId="0" fontId="22" fillId="12" borderId="15" xfId="0" applyFont="1" applyFill="1" applyBorder="1"/>
    <xf numFmtId="0" fontId="24" fillId="18" borderId="0" xfId="150"/>
    <xf numFmtId="0" fontId="18" fillId="10" borderId="0" xfId="0" applyFont="1" applyFill="1"/>
    <xf numFmtId="0" fontId="18" fillId="10" borderId="2" xfId="0" applyFont="1" applyFill="1" applyBorder="1"/>
    <xf numFmtId="0" fontId="7" fillId="10" borderId="0" xfId="0" applyFont="1" applyFill="1"/>
    <xf numFmtId="0" fontId="2" fillId="6" borderId="0" xfId="0" applyFont="1" applyFill="1" applyAlignment="1">
      <alignment horizontal="left" wrapText="1"/>
    </xf>
    <xf numFmtId="0" fontId="2" fillId="20" borderId="0" xfId="0" applyFont="1" applyFill="1"/>
    <xf numFmtId="0" fontId="2" fillId="20" borderId="2" xfId="0" applyFont="1" applyFill="1" applyBorder="1"/>
    <xf numFmtId="0" fontId="18" fillId="20" borderId="0" xfId="0" applyFont="1" applyFill="1"/>
    <xf numFmtId="0" fontId="18" fillId="20" borderId="2" xfId="0" applyFont="1" applyFill="1" applyBorder="1"/>
    <xf numFmtId="0" fontId="0" fillId="14" borderId="0" xfId="0" applyFill="1"/>
    <xf numFmtId="0" fontId="3" fillId="2" borderId="0" xfId="0" applyFont="1" applyFill="1" applyAlignment="1">
      <alignment horizontal="center"/>
    </xf>
    <xf numFmtId="49" fontId="3" fillId="2" borderId="0" xfId="0" applyNumberFormat="1" applyFont="1" applyFill="1" applyAlignment="1">
      <alignment horizontal="center"/>
    </xf>
    <xf numFmtId="0" fontId="29" fillId="22" borderId="0" xfId="0" applyFont="1" applyFill="1" applyAlignment="1">
      <alignment horizontal="left" vertical="center"/>
    </xf>
    <xf numFmtId="0" fontId="30" fillId="22" borderId="0" xfId="0" applyFont="1" applyFill="1"/>
    <xf numFmtId="0" fontId="30" fillId="22" borderId="1" xfId="0" applyFont="1" applyFill="1" applyBorder="1"/>
    <xf numFmtId="0" fontId="32" fillId="0" borderId="0" xfId="154" applyFont="1"/>
    <xf numFmtId="0" fontId="33" fillId="0" borderId="0" xfId="0" applyFont="1"/>
    <xf numFmtId="0" fontId="7" fillId="11" borderId="2" xfId="0" applyFont="1" applyFill="1" applyBorder="1"/>
    <xf numFmtId="0" fontId="2" fillId="6" borderId="2" xfId="0" applyFont="1" applyFill="1" applyBorder="1"/>
    <xf numFmtId="0" fontId="19" fillId="6" borderId="2" xfId="0" applyFont="1" applyFill="1" applyBorder="1"/>
    <xf numFmtId="0" fontId="34" fillId="0" borderId="0" xfId="0" applyFont="1"/>
    <xf numFmtId="0" fontId="2" fillId="9" borderId="0" xfId="0" applyFont="1" applyFill="1" applyAlignment="1">
      <alignment horizontal="left"/>
    </xf>
    <xf numFmtId="0" fontId="2" fillId="23" borderId="0" xfId="0" applyFont="1" applyFill="1"/>
    <xf numFmtId="0" fontId="2" fillId="24" borderId="0" xfId="0" applyFont="1" applyFill="1"/>
    <xf numFmtId="0" fontId="0" fillId="0" borderId="0" xfId="153" applyNumberFormat="1" applyFont="1"/>
    <xf numFmtId="0" fontId="0" fillId="0" borderId="0" xfId="0" applyAlignment="1">
      <alignment horizontal="right"/>
    </xf>
    <xf numFmtId="0" fontId="11" fillId="0" borderId="0" xfId="153" applyNumberFormat="1" applyFont="1"/>
    <xf numFmtId="0" fontId="16" fillId="3" borderId="0" xfId="153" applyNumberFormat="1" applyFont="1" applyFill="1"/>
    <xf numFmtId="0" fontId="2" fillId="3" borderId="0" xfId="0" applyFont="1" applyFill="1" applyAlignment="1">
      <alignment horizontal="left"/>
    </xf>
    <xf numFmtId="0" fontId="11" fillId="25" borderId="0" xfId="0" applyFont="1" applyFill="1"/>
    <xf numFmtId="0" fontId="0" fillId="25" borderId="0" xfId="0" applyFill="1"/>
    <xf numFmtId="0" fontId="0" fillId="25" borderId="0" xfId="0" applyFill="1" applyAlignment="1">
      <alignment horizontal="right"/>
    </xf>
    <xf numFmtId="0" fontId="11" fillId="25" borderId="0" xfId="0" applyFont="1" applyFill="1" applyAlignment="1">
      <alignment horizontal="right"/>
    </xf>
    <xf numFmtId="0" fontId="35" fillId="25" borderId="0" xfId="0" applyFont="1" applyFill="1" applyAlignment="1">
      <alignment horizontal="right"/>
    </xf>
    <xf numFmtId="1" fontId="0" fillId="25" borderId="0" xfId="0" applyNumberFormat="1" applyFill="1"/>
    <xf numFmtId="0" fontId="11" fillId="0" borderId="0" xfId="0" applyFont="1" applyAlignment="1">
      <alignment horizontal="right"/>
    </xf>
    <xf numFmtId="0" fontId="2" fillId="2" borderId="0" xfId="0" applyFont="1" applyFill="1" applyAlignment="1">
      <alignment horizontal="center"/>
    </xf>
    <xf numFmtId="0" fontId="28" fillId="21" borderId="0" xfId="154" applyFont="1" applyFill="1" applyAlignment="1">
      <alignment horizontal="center"/>
    </xf>
    <xf numFmtId="0" fontId="11" fillId="22" borderId="0" xfId="0" applyFont="1" applyFill="1" applyAlignment="1">
      <alignment horizontal="center" vertical="center" wrapText="1"/>
    </xf>
    <xf numFmtId="0" fontId="11" fillId="22" borderId="16" xfId="0" applyFont="1" applyFill="1" applyBorder="1" applyAlignment="1">
      <alignment horizontal="center" vertical="center" wrapText="1"/>
    </xf>
    <xf numFmtId="0" fontId="31" fillId="22" borderId="0" xfId="0" applyFont="1" applyFill="1" applyAlignment="1">
      <alignment horizontal="center" vertical="center" wrapText="1"/>
    </xf>
    <xf numFmtId="0" fontId="31" fillId="22" borderId="16" xfId="0" applyFont="1" applyFill="1" applyBorder="1" applyAlignment="1">
      <alignment horizontal="center" vertical="center" wrapText="1"/>
    </xf>
    <xf numFmtId="0" fontId="31" fillId="22" borderId="0" xfId="0" applyFont="1" applyFill="1" applyAlignment="1">
      <alignment horizontal="left" wrapText="1"/>
    </xf>
    <xf numFmtId="0" fontId="31" fillId="22" borderId="16" xfId="0" applyFont="1" applyFill="1" applyBorder="1" applyAlignment="1">
      <alignment horizontal="left" wrapText="1"/>
    </xf>
    <xf numFmtId="0" fontId="31" fillId="22" borderId="1" xfId="0" applyFont="1" applyFill="1" applyBorder="1" applyAlignment="1">
      <alignment horizontal="left" vertical="center" wrapText="1"/>
    </xf>
    <xf numFmtId="0" fontId="31" fillId="22" borderId="17" xfId="0" applyFont="1" applyFill="1" applyBorder="1" applyAlignment="1">
      <alignment horizontal="left" vertical="center" wrapText="1"/>
    </xf>
  </cellXfs>
  <cellStyles count="155">
    <cellStyle name="Besuchter Hyperlink" xfId="2" builtinId="9" hidden="1"/>
    <cellStyle name="Besuchter Hyperlink" xfId="4" builtinId="9" hidden="1"/>
    <cellStyle name="Besuchter Hyperlink" xfId="6" builtinId="9" hidden="1"/>
    <cellStyle name="Besuchter Hyperlink" xfId="8" builtinId="9" hidden="1"/>
    <cellStyle name="Besuchter Hyperlink" xfId="10" builtinId="9" hidden="1"/>
    <cellStyle name="Besuchter Hyperlink" xfId="12" builtinId="9" hidden="1"/>
    <cellStyle name="Besuchter Hyperlink" xfId="14" builtinId="9" hidden="1"/>
    <cellStyle name="Besuchter Hyperlink" xfId="16" builtinId="9" hidden="1"/>
    <cellStyle name="Besuchter Hyperlink" xfId="18" builtinId="9" hidden="1"/>
    <cellStyle name="Besuchter Hyperlink" xfId="20" builtinId="9" hidden="1"/>
    <cellStyle name="Besuchter Hyperlink" xfId="22" builtinId="9" hidden="1"/>
    <cellStyle name="Besuchter Hyperlink" xfId="24" builtinId="9" hidden="1"/>
    <cellStyle name="Besuchter Hyperlink" xfId="26" builtinId="9" hidden="1"/>
    <cellStyle name="Besuchter Hyperlink" xfId="28" builtinId="9" hidden="1"/>
    <cellStyle name="Besuchter Hyperlink" xfId="30" builtinId="9" hidden="1"/>
    <cellStyle name="Besuchter Hyperlink" xfId="32" builtinId="9" hidden="1"/>
    <cellStyle name="Besuchter Hyperlink" xfId="34" builtinId="9" hidden="1"/>
    <cellStyle name="Besuchter Hyperlink" xfId="36" builtinId="9" hidden="1"/>
    <cellStyle name="Besuchter Hyperlink" xfId="38" builtinId="9" hidden="1"/>
    <cellStyle name="Besuchter Hyperlink" xfId="40" builtinId="9" hidden="1"/>
    <cellStyle name="Besuchter Hyperlink" xfId="42" builtinId="9" hidden="1"/>
    <cellStyle name="Besuchter Hyperlink" xfId="44" builtinId="9" hidden="1"/>
    <cellStyle name="Besuchter Hyperlink" xfId="46" builtinId="9" hidden="1"/>
    <cellStyle name="Besuchter Hyperlink" xfId="48" builtinId="9" hidden="1"/>
    <cellStyle name="Besuchter Hyperlink" xfId="50" builtinId="9" hidden="1"/>
    <cellStyle name="Besuchter Hyperlink" xfId="52" builtinId="9" hidden="1"/>
    <cellStyle name="Besuchter Hyperlink" xfId="54" builtinId="9" hidden="1"/>
    <cellStyle name="Besuchter Hyperlink" xfId="56" builtinId="9" hidden="1"/>
    <cellStyle name="Besuchter Hyperlink" xfId="58" builtinId="9" hidden="1"/>
    <cellStyle name="Besuchter Hyperlink" xfId="60" builtinId="9" hidden="1"/>
    <cellStyle name="Besuchter Hyperlink" xfId="62" builtinId="9" hidden="1"/>
    <cellStyle name="Besuchter Hyperlink" xfId="64" builtinId="9" hidden="1"/>
    <cellStyle name="Besuchter Hyperlink" xfId="66" builtinId="9" hidden="1"/>
    <cellStyle name="Besuchter Hyperlink" xfId="68" builtinId="9" hidden="1"/>
    <cellStyle name="Besuchter Hyperlink" xfId="70" builtinId="9" hidden="1"/>
    <cellStyle name="Besuchter Hyperlink" xfId="72" builtinId="9" hidden="1"/>
    <cellStyle name="Besuchter Hyperlink" xfId="74" builtinId="9" hidden="1"/>
    <cellStyle name="Besuchter Hyperlink" xfId="76" builtinId="9" hidden="1"/>
    <cellStyle name="Besuchter Hyperlink" xfId="78" builtinId="9" hidden="1"/>
    <cellStyle name="Besuchter Hyperlink" xfId="80" builtinId="9" hidden="1"/>
    <cellStyle name="Besuchter Hyperlink" xfId="82" builtinId="9" hidden="1"/>
    <cellStyle name="Besuchter Hyperlink" xfId="84" builtinId="9" hidden="1"/>
    <cellStyle name="Besuchter Hyperlink" xfId="86" builtinId="9" hidden="1"/>
    <cellStyle name="Besuchter Hyperlink" xfId="88" builtinId="9" hidden="1"/>
    <cellStyle name="Besuchter Hyperlink" xfId="90" builtinId="9" hidden="1"/>
    <cellStyle name="Besuchter Hyperlink" xfId="92" builtinId="9" hidden="1"/>
    <cellStyle name="Besuchter Hyperlink" xfId="94" builtinId="9" hidden="1"/>
    <cellStyle name="Besuchter Hyperlink" xfId="96" builtinId="9" hidden="1"/>
    <cellStyle name="Besuchter Hyperlink" xfId="98" builtinId="9" hidden="1"/>
    <cellStyle name="Besuchter Hyperlink" xfId="100" builtinId="9" hidden="1"/>
    <cellStyle name="Besuchter Hyperlink" xfId="102" builtinId="9" hidden="1"/>
    <cellStyle name="Besuchter Hyperlink" xfId="104" builtinId="9" hidden="1"/>
    <cellStyle name="Besuchter Hyperlink" xfId="106" builtinId="9" hidden="1"/>
    <cellStyle name="Besuchter Hyperlink" xfId="108" builtinId="9" hidden="1"/>
    <cellStyle name="Besuchter Hyperlink" xfId="110" builtinId="9" hidden="1"/>
    <cellStyle name="Besuchter Hyperlink" xfId="112" builtinId="9" hidden="1"/>
    <cellStyle name="Besuchter Hyperlink" xfId="114" builtinId="9" hidden="1"/>
    <cellStyle name="Besuchter Hyperlink" xfId="116" builtinId="9" hidden="1"/>
    <cellStyle name="Besuchter Hyperlink" xfId="118" builtinId="9" hidden="1"/>
    <cellStyle name="Besuchter Hyperlink" xfId="120" builtinId="9" hidden="1"/>
    <cellStyle name="Besuchter Hyperlink" xfId="122" builtinId="9" hidden="1"/>
    <cellStyle name="Besuchter Hyperlink" xfId="124" builtinId="9" hidden="1"/>
    <cellStyle name="Besuchter Hyperlink" xfId="126" builtinId="9" hidden="1"/>
    <cellStyle name="Besuchter Hyperlink" xfId="128" builtinId="9" hidden="1"/>
    <cellStyle name="Besuchter Hyperlink" xfId="130" builtinId="9" hidden="1"/>
    <cellStyle name="Besuchter Hyperlink" xfId="132" builtinId="9" hidden="1"/>
    <cellStyle name="Besuchter Hyperlink" xfId="134" builtinId="9" hidden="1"/>
    <cellStyle name="Besuchter Hyperlink" xfId="136" builtinId="9" hidden="1"/>
    <cellStyle name="Besuchter Hyperlink" xfId="138" builtinId="9" hidden="1"/>
    <cellStyle name="Besuchter Hyperlink" xfId="140" builtinId="9" hidden="1"/>
    <cellStyle name="Besuchter Hyperlink" xfId="142" builtinId="9" hidden="1"/>
    <cellStyle name="Besuchter Hyperlink" xfId="144" builtinId="9" hidden="1"/>
    <cellStyle name="Besuchter Hyperlink" xfId="146" builtinId="9" hidden="1"/>
    <cellStyle name="Besuchter Hyperlink" xfId="148" builtinId="9" hidden="1"/>
    <cellStyle name="Hyperlink 2" xfId="152" xr:uid="{00000000-0005-0000-0000-000095000000}"/>
    <cellStyle name="Komma 2" xfId="153" xr:uid="{00000000-0005-0000-0000-000096000000}"/>
    <cellStyle name="Link" xfId="1" builtinId="8" hidden="1"/>
    <cellStyle name="Link" xfId="3" builtinId="8" hidden="1"/>
    <cellStyle name="Link" xfId="5" builtinId="8" hidden="1"/>
    <cellStyle name="Link" xfId="7" builtinId="8" hidden="1"/>
    <cellStyle name="Link" xfId="9" builtinId="8" hidden="1"/>
    <cellStyle name="Link" xfId="11" builtinId="8" hidden="1"/>
    <cellStyle name="Link" xfId="13" builtinId="8" hidden="1"/>
    <cellStyle name="Link" xfId="15" builtinId="8" hidden="1"/>
    <cellStyle name="Link" xfId="17" builtinId="8" hidden="1"/>
    <cellStyle name="Link" xfId="19" builtinId="8" hidden="1"/>
    <cellStyle name="Link" xfId="21" builtinId="8" hidden="1"/>
    <cellStyle name="Link" xfId="23" builtinId="8" hidden="1"/>
    <cellStyle name="Link" xfId="25" builtinId="8" hidden="1"/>
    <cellStyle name="Link" xfId="27" builtinId="8" hidden="1"/>
    <cellStyle name="Link" xfId="29" builtinId="8" hidden="1"/>
    <cellStyle name="Link" xfId="31" builtinId="8" hidden="1"/>
    <cellStyle name="Link" xfId="33" builtinId="8" hidden="1"/>
    <cellStyle name="Link" xfId="35" builtinId="8" hidden="1"/>
    <cellStyle name="Link" xfId="37" builtinId="8" hidden="1"/>
    <cellStyle name="Link" xfId="39" builtinId="8" hidden="1"/>
    <cellStyle name="Link" xfId="41" builtinId="8" hidden="1"/>
    <cellStyle name="Link" xfId="43" builtinId="8" hidden="1"/>
    <cellStyle name="Link" xfId="45" builtinId="8" hidden="1"/>
    <cellStyle name="Link" xfId="47" builtinId="8" hidden="1"/>
    <cellStyle name="Link" xfId="49" builtinId="8" hidden="1"/>
    <cellStyle name="Link" xfId="51" builtinId="8" hidden="1"/>
    <cellStyle name="Link" xfId="53" builtinId="8" hidden="1"/>
    <cellStyle name="Link" xfId="55" builtinId="8" hidden="1"/>
    <cellStyle name="Link" xfId="57" builtinId="8" hidden="1"/>
    <cellStyle name="Link" xfId="59" builtinId="8" hidden="1"/>
    <cellStyle name="Link" xfId="61" builtinId="8" hidden="1"/>
    <cellStyle name="Link" xfId="63" builtinId="8" hidden="1"/>
    <cellStyle name="Link" xfId="65" builtinId="8" hidden="1"/>
    <cellStyle name="Link" xfId="67" builtinId="8" hidden="1"/>
    <cellStyle name="Link" xfId="69" builtinId="8" hidden="1"/>
    <cellStyle name="Link" xfId="71" builtinId="8" hidden="1"/>
    <cellStyle name="Link" xfId="73" builtinId="8" hidden="1"/>
    <cellStyle name="Link" xfId="75" builtinId="8" hidden="1"/>
    <cellStyle name="Link" xfId="77" builtinId="8" hidden="1"/>
    <cellStyle name="Link" xfId="79" builtinId="8" hidden="1"/>
    <cellStyle name="Link" xfId="81" builtinId="8" hidden="1"/>
    <cellStyle name="Link" xfId="83" builtinId="8" hidden="1"/>
    <cellStyle name="Link" xfId="85" builtinId="8" hidden="1"/>
    <cellStyle name="Link" xfId="87" builtinId="8" hidden="1"/>
    <cellStyle name="Link" xfId="89" builtinId="8" hidden="1"/>
    <cellStyle name="Link" xfId="91" builtinId="8" hidden="1"/>
    <cellStyle name="Link" xfId="93" builtinId="8" hidden="1"/>
    <cellStyle name="Link" xfId="95" builtinId="8" hidden="1"/>
    <cellStyle name="Link" xfId="97" builtinId="8" hidden="1"/>
    <cellStyle name="Link" xfId="99" builtinId="8" hidden="1"/>
    <cellStyle name="Link" xfId="101" builtinId="8" hidden="1"/>
    <cellStyle name="Link" xfId="103" builtinId="8" hidden="1"/>
    <cellStyle name="Link" xfId="105" builtinId="8" hidden="1"/>
    <cellStyle name="Link" xfId="107" builtinId="8" hidden="1"/>
    <cellStyle name="Link" xfId="109" builtinId="8" hidden="1"/>
    <cellStyle name="Link" xfId="111" builtinId="8" hidden="1"/>
    <cellStyle name="Link" xfId="113" builtinId="8" hidden="1"/>
    <cellStyle name="Link" xfId="115" builtinId="8" hidden="1"/>
    <cellStyle name="Link" xfId="117" builtinId="8" hidden="1"/>
    <cellStyle name="Link" xfId="119" builtinId="8" hidden="1"/>
    <cellStyle name="Link" xfId="121" builtinId="8" hidden="1"/>
    <cellStyle name="Link" xfId="123" builtinId="8" hidden="1"/>
    <cellStyle name="Link" xfId="125" builtinId="8" hidden="1"/>
    <cellStyle name="Link" xfId="127" builtinId="8" hidden="1"/>
    <cellStyle name="Link" xfId="129" builtinId="8" hidden="1"/>
    <cellStyle name="Link" xfId="131" builtinId="8" hidden="1"/>
    <cellStyle name="Link" xfId="133" builtinId="8" hidden="1"/>
    <cellStyle name="Link" xfId="135" builtinId="8" hidden="1"/>
    <cellStyle name="Link" xfId="137" builtinId="8" hidden="1"/>
    <cellStyle name="Link" xfId="139" builtinId="8" hidden="1"/>
    <cellStyle name="Link" xfId="141" builtinId="8" hidden="1"/>
    <cellStyle name="Link" xfId="143" builtinId="8" hidden="1"/>
    <cellStyle name="Link" xfId="145" builtinId="8" hidden="1"/>
    <cellStyle name="Link" xfId="147" builtinId="8" hidden="1"/>
    <cellStyle name="Link" xfId="149" builtinId="8"/>
    <cellStyle name="Schlecht" xfId="150" builtinId="27"/>
    <cellStyle name="Standard" xfId="0" builtinId="0"/>
    <cellStyle name="Standard 2" xfId="151" xr:uid="{00000000-0005-0000-0000-00009A000000}"/>
    <cellStyle name="Standard 3" xfId="154" xr:uid="{00000000-0005-0000-0000-00009B000000}"/>
  </cellStyles>
  <dxfs count="5"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colors>
    <mruColors>
      <color rgb="FF99FF66"/>
      <color rgb="FFFFFF00"/>
      <color rgb="FFF4F40C"/>
      <color rgb="FFFF3300"/>
      <color rgb="FFFF6600"/>
      <color rgb="FF33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1628775</xdr:colOff>
      <xdr:row>49</xdr:row>
      <xdr:rowOff>28575</xdr:rowOff>
    </xdr:from>
    <xdr:to>
      <xdr:col>7</xdr:col>
      <xdr:colOff>838199</xdr:colOff>
      <xdr:row>49</xdr:row>
      <xdr:rowOff>2038350</xdr:rowOff>
    </xdr:to>
    <xdr:pic>
      <xdr:nvPicPr>
        <xdr:cNvPr id="2" name="Grafik 1" descr="EndNote X8 - [Kristensen, 2014 #212]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389" t="20227" r="27403" b="55654"/>
        <a:stretch/>
      </xdr:blipFill>
      <xdr:spPr>
        <a:xfrm>
          <a:off x="1628775" y="7991475"/>
          <a:ext cx="6715124" cy="2009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urgicalriskcalculator.com/miorcardiacarre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F624"/>
  <sheetViews>
    <sheetView tabSelected="1" zoomScale="140" zoomScaleNormal="140" zoomScalePageLayoutView="90" workbookViewId="0">
      <pane xSplit="1" ySplit="1" topLeftCell="G38" activePane="bottomRight" state="frozen"/>
      <selection pane="topRight" activeCell="B1" sqref="B1"/>
      <selection pane="bottomLeft" activeCell="A6" sqref="A6"/>
      <selection pane="bottomRight" activeCell="O32" sqref="O32"/>
    </sheetView>
  </sheetViews>
  <sheetFormatPr baseColWidth="10" defaultColWidth="8" defaultRowHeight="17" customHeight="1"/>
  <cols>
    <col min="1" max="1" width="5.5" style="2" customWidth="1"/>
    <col min="2" max="2" width="8.1640625" style="2" customWidth="1"/>
    <col min="3" max="3" width="8.33203125" style="1" customWidth="1"/>
    <col min="4" max="4" width="21.1640625" style="5" customWidth="1"/>
    <col min="5" max="5" width="7.6640625" style="5" customWidth="1"/>
    <col min="6" max="6" width="6.1640625" style="5" customWidth="1"/>
    <col min="7" max="7" width="6.1640625" style="101" customWidth="1"/>
    <col min="8" max="8" width="8.83203125" style="5" customWidth="1"/>
    <col min="9" max="9" width="8.6640625" customWidth="1"/>
    <col min="10" max="10" width="7.83203125" customWidth="1"/>
    <col min="11" max="11" width="13.1640625" customWidth="1"/>
    <col min="12" max="12" width="20" customWidth="1"/>
    <col min="13" max="13" width="13.33203125" style="133" customWidth="1"/>
    <col min="14" max="14" width="7.5" style="1" customWidth="1"/>
    <col min="15" max="15" width="11.6640625" style="1" customWidth="1"/>
    <col min="16" max="16" width="7.6640625" style="1" customWidth="1"/>
    <col min="17" max="17" width="16.5" style="1" customWidth="1"/>
    <col min="18" max="18" width="10.5" style="1" customWidth="1"/>
    <col min="19" max="19" width="13.1640625" style="1" customWidth="1"/>
    <col min="20" max="20" width="15.83203125" style="103" customWidth="1"/>
    <col min="21" max="21" width="13.33203125" style="103" customWidth="1"/>
    <col min="22" max="22" width="6" style="103" customWidth="1"/>
    <col min="23" max="23" width="8" style="6" customWidth="1"/>
    <col min="24" max="24" width="8.5" style="103" customWidth="1"/>
    <col min="25" max="25" width="14.5" style="103" customWidth="1"/>
    <col min="26" max="26" width="11.1640625" style="81" customWidth="1"/>
    <col min="27" max="27" width="7.1640625" style="1" customWidth="1"/>
    <col min="28" max="28" width="8.6640625" style="1" customWidth="1"/>
    <col min="29" max="29" width="6.83203125" style="1" customWidth="1"/>
    <col min="30" max="30" width="10.33203125" style="1" customWidth="1"/>
    <col min="31" max="31" width="7" style="1" customWidth="1"/>
    <col min="32" max="32" width="8.1640625" style="1" customWidth="1"/>
    <col min="33" max="33" width="8.6640625" style="1" customWidth="1"/>
    <col min="34" max="34" width="9.83203125" style="3" customWidth="1"/>
    <col min="35" max="36" width="10.33203125" style="3" customWidth="1"/>
    <col min="37" max="37" width="9.5" style="3" bestFit="1" customWidth="1"/>
    <col min="38" max="38" width="9.5" style="1" customWidth="1"/>
    <col min="39" max="39" width="7.1640625" style="1" customWidth="1"/>
    <col min="40" max="40" width="8.6640625" style="1" customWidth="1"/>
    <col min="41" max="41" width="6.6640625" style="1" customWidth="1"/>
    <col min="42" max="42" width="9" style="1" customWidth="1"/>
    <col min="43" max="43" width="16.33203125" style="132" customWidth="1"/>
    <col min="44" max="44" width="17.33203125" customWidth="1"/>
    <col min="45" max="45" width="11.1640625" style="1" customWidth="1"/>
    <col min="46" max="46" width="10.33203125" style="1" customWidth="1"/>
    <col min="47" max="47" width="10"/>
    <col min="48" max="48" width="11.1640625" style="1" customWidth="1"/>
    <col min="49" max="49" width="7" style="1" customWidth="1"/>
    <col min="50" max="50" width="7.33203125" style="1" customWidth="1"/>
    <col min="51" max="51" width="6.83203125" style="1" customWidth="1"/>
    <col min="52" max="52" width="6.5" style="1" customWidth="1"/>
    <col min="53" max="56" width="10.1640625" style="1" customWidth="1"/>
    <col min="57" max="57" width="9.83203125" style="1" customWidth="1"/>
    <col min="58" max="58" width="9.5" style="37" customWidth="1"/>
    <col min="59" max="59" width="8.6640625" customWidth="1"/>
    <col min="60" max="60" width="6.1640625" customWidth="1"/>
    <col min="61" max="61" width="6.83203125" customWidth="1"/>
    <col min="62" max="62" width="7.6640625" customWidth="1"/>
    <col min="63" max="63" width="7.33203125" customWidth="1"/>
    <col min="64" max="65" width="7.1640625" style="1" customWidth="1"/>
    <col min="66" max="66" width="7.6640625" style="1" customWidth="1"/>
    <col min="67" max="67" width="8.5" style="1" customWidth="1"/>
    <col min="68" max="68" width="9.33203125" style="37" customWidth="1"/>
    <col min="69" max="69" width="8.83203125" style="1" customWidth="1"/>
    <col min="70" max="72" width="11.1640625" style="1" customWidth="1"/>
    <col min="73" max="73" width="10.1640625" style="1" customWidth="1"/>
    <col min="74" max="74" width="10.5" style="1" customWidth="1"/>
    <col min="75" max="75" width="10.1640625" style="1" customWidth="1"/>
    <col min="76" max="76" width="7" style="1" customWidth="1"/>
    <col min="77" max="78" width="6.1640625" style="1" customWidth="1"/>
    <col min="79" max="79" width="9.83203125" style="1" customWidth="1"/>
    <col min="80" max="80" width="6.6640625" style="1" customWidth="1"/>
    <col min="81" max="81" width="5.83203125" style="1" customWidth="1"/>
    <col min="82" max="82" width="13.1640625" style="1" customWidth="1"/>
    <col min="83" max="83" width="11.1640625" style="1" customWidth="1"/>
    <col min="84" max="84" width="10" style="37" customWidth="1"/>
    <col min="85" max="16384" width="8" style="1"/>
  </cols>
  <sheetData>
    <row r="1" spans="1:84" s="7" customFormat="1" ht="18.75" customHeight="1">
      <c r="A1" s="12" t="s">
        <v>291</v>
      </c>
      <c r="B1" s="12" t="s">
        <v>290</v>
      </c>
      <c r="C1" s="14" t="s">
        <v>5</v>
      </c>
      <c r="D1" s="13" t="s">
        <v>6</v>
      </c>
      <c r="E1" s="13" t="s">
        <v>14</v>
      </c>
      <c r="F1" s="13" t="s">
        <v>13</v>
      </c>
      <c r="G1" s="100" t="s">
        <v>7</v>
      </c>
      <c r="H1" s="13" t="s">
        <v>25</v>
      </c>
      <c r="I1" s="13" t="s">
        <v>15</v>
      </c>
      <c r="J1" s="135" t="s">
        <v>28</v>
      </c>
      <c r="K1" s="12" t="s">
        <v>11</v>
      </c>
      <c r="L1" s="12" t="s">
        <v>59</v>
      </c>
      <c r="M1" s="136" t="s">
        <v>177</v>
      </c>
      <c r="N1" s="20" t="s">
        <v>15</v>
      </c>
      <c r="O1" s="19" t="s">
        <v>29</v>
      </c>
      <c r="P1" s="19" t="s">
        <v>30</v>
      </c>
      <c r="Q1" s="20" t="s">
        <v>260</v>
      </c>
      <c r="R1" s="20" t="s">
        <v>19</v>
      </c>
      <c r="S1" s="20" t="s">
        <v>32</v>
      </c>
      <c r="T1" s="20" t="s">
        <v>66</v>
      </c>
      <c r="U1" s="21" t="s">
        <v>33</v>
      </c>
      <c r="V1" s="21" t="s">
        <v>34</v>
      </c>
      <c r="W1" s="21" t="s">
        <v>35</v>
      </c>
      <c r="X1" s="18"/>
      <c r="Y1" s="21" t="s">
        <v>22</v>
      </c>
      <c r="Z1" s="21" t="s">
        <v>10</v>
      </c>
      <c r="AA1" s="92" t="s">
        <v>85</v>
      </c>
      <c r="AB1" s="129" t="s">
        <v>50</v>
      </c>
      <c r="AC1" s="20" t="s">
        <v>21</v>
      </c>
      <c r="AD1" s="22" t="s">
        <v>39</v>
      </c>
      <c r="AE1" s="106" t="s">
        <v>265</v>
      </c>
      <c r="AF1" s="17" t="s">
        <v>0</v>
      </c>
      <c r="AG1" s="17" t="s">
        <v>1</v>
      </c>
      <c r="AH1" s="17" t="s">
        <v>4</v>
      </c>
      <c r="AI1" s="17" t="s">
        <v>41</v>
      </c>
      <c r="AJ1" s="17" t="s">
        <v>3</v>
      </c>
      <c r="AK1" s="17" t="s">
        <v>40</v>
      </c>
      <c r="AL1" s="17" t="s">
        <v>8</v>
      </c>
      <c r="AM1" s="17" t="s">
        <v>53</v>
      </c>
      <c r="AN1" s="17" t="s">
        <v>54</v>
      </c>
      <c r="AO1" s="17" t="s">
        <v>55</v>
      </c>
      <c r="AP1" s="17" t="s">
        <v>56</v>
      </c>
      <c r="AQ1" s="17" t="s">
        <v>57</v>
      </c>
      <c r="AR1" s="17" t="s">
        <v>58</v>
      </c>
      <c r="AS1" s="14" t="s">
        <v>256</v>
      </c>
      <c r="AT1" s="14" t="s">
        <v>257</v>
      </c>
      <c r="AU1" s="14" t="s">
        <v>258</v>
      </c>
      <c r="AV1" s="14" t="s">
        <v>259</v>
      </c>
      <c r="AW1" s="131" t="s">
        <v>266</v>
      </c>
      <c r="AX1" s="131" t="s">
        <v>267</v>
      </c>
      <c r="AY1" s="131" t="s">
        <v>268</v>
      </c>
      <c r="AZ1" s="131" t="s">
        <v>269</v>
      </c>
      <c r="BA1" s="131" t="s">
        <v>270</v>
      </c>
      <c r="BB1" s="131" t="s">
        <v>271</v>
      </c>
      <c r="BC1" s="131" t="s">
        <v>272</v>
      </c>
      <c r="BD1" s="131" t="s">
        <v>278</v>
      </c>
      <c r="BE1" s="131" t="s">
        <v>273</v>
      </c>
      <c r="BF1" s="131" t="s">
        <v>274</v>
      </c>
      <c r="BG1" s="131" t="s">
        <v>275</v>
      </c>
      <c r="BH1" s="131" t="s">
        <v>276</v>
      </c>
      <c r="BI1" s="131" t="s">
        <v>277</v>
      </c>
      <c r="BJ1" s="131" t="s">
        <v>279</v>
      </c>
      <c r="BK1" s="131" t="s">
        <v>280</v>
      </c>
      <c r="BL1" s="131" t="s">
        <v>281</v>
      </c>
      <c r="BM1" s="131" t="s">
        <v>282</v>
      </c>
      <c r="BN1" s="131" t="s">
        <v>283</v>
      </c>
      <c r="BO1" s="131" t="s">
        <v>284</v>
      </c>
      <c r="BP1" s="131" t="s">
        <v>285</v>
      </c>
      <c r="BQ1" s="131" t="s">
        <v>286</v>
      </c>
      <c r="BR1" s="131" t="s">
        <v>287</v>
      </c>
      <c r="BS1" s="131" t="s">
        <v>288</v>
      </c>
      <c r="BT1" s="131" t="s">
        <v>289</v>
      </c>
      <c r="BU1" s="130" t="s">
        <v>245</v>
      </c>
      <c r="BV1" s="130" t="s">
        <v>246</v>
      </c>
      <c r="BW1" s="130" t="s">
        <v>247</v>
      </c>
      <c r="BX1" s="130" t="s">
        <v>248</v>
      </c>
      <c r="BY1" s="130" t="s">
        <v>249</v>
      </c>
      <c r="BZ1" s="130" t="s">
        <v>250</v>
      </c>
      <c r="CA1" s="130" t="s">
        <v>244</v>
      </c>
      <c r="CB1" s="130" t="s">
        <v>251</v>
      </c>
      <c r="CC1" s="24" t="s">
        <v>252</v>
      </c>
      <c r="CD1" s="24" t="s">
        <v>253</v>
      </c>
      <c r="CE1" s="24" t="s">
        <v>254</v>
      </c>
      <c r="CF1" s="24" t="s">
        <v>255</v>
      </c>
    </row>
    <row r="2" spans="1:84" customFormat="1" ht="14.25" customHeight="1">
      <c r="A2" s="1">
        <v>1</v>
      </c>
      <c r="B2" s="1">
        <v>1</v>
      </c>
      <c r="C2" s="1">
        <v>1</v>
      </c>
      <c r="D2" s="5">
        <v>59</v>
      </c>
      <c r="E2" s="5">
        <v>65</v>
      </c>
      <c r="F2" s="5">
        <v>177</v>
      </c>
      <c r="G2" s="101">
        <f t="shared" ref="G2" si="0">E2/(F2/100)^2</f>
        <v>20.747550193111813</v>
      </c>
      <c r="H2" s="5">
        <v>0</v>
      </c>
      <c r="I2" s="5">
        <v>4</v>
      </c>
      <c r="J2" s="137">
        <v>5.9</v>
      </c>
      <c r="K2" s="138">
        <v>1</v>
      </c>
      <c r="L2" s="138">
        <v>1</v>
      </c>
      <c r="M2" s="140" t="s">
        <v>261</v>
      </c>
      <c r="N2" s="1">
        <v>4</v>
      </c>
      <c r="O2" s="1">
        <v>3</v>
      </c>
      <c r="P2" s="1">
        <v>3</v>
      </c>
      <c r="Q2" s="1">
        <v>4</v>
      </c>
      <c r="R2" s="1">
        <v>1</v>
      </c>
      <c r="S2" s="1">
        <v>0</v>
      </c>
      <c r="T2" s="103">
        <v>0</v>
      </c>
      <c r="U2" s="103">
        <v>5</v>
      </c>
      <c r="V2" s="103">
        <v>0</v>
      </c>
      <c r="W2" s="6">
        <v>0</v>
      </c>
      <c r="X2" s="103">
        <v>0</v>
      </c>
      <c r="Y2" s="103">
        <v>0</v>
      </c>
      <c r="Z2" s="81">
        <v>0</v>
      </c>
      <c r="AA2" s="1">
        <v>0</v>
      </c>
      <c r="AB2" s="1">
        <v>1</v>
      </c>
      <c r="AC2" s="1">
        <v>2</v>
      </c>
      <c r="AD2" s="1">
        <v>1</v>
      </c>
      <c r="AE2" s="1">
        <v>0</v>
      </c>
      <c r="AF2" s="1">
        <v>0</v>
      </c>
      <c r="AG2" s="1">
        <v>0</v>
      </c>
      <c r="AH2" s="3">
        <v>1</v>
      </c>
      <c r="AI2" s="3">
        <v>0</v>
      </c>
      <c r="AJ2" s="3">
        <v>1</v>
      </c>
      <c r="AK2" s="3">
        <v>0</v>
      </c>
      <c r="AL2" s="1" t="s">
        <v>262</v>
      </c>
      <c r="AM2" s="1" t="s">
        <v>262</v>
      </c>
      <c r="AN2" s="1" t="s">
        <v>262</v>
      </c>
      <c r="AO2" s="1" t="s">
        <v>262</v>
      </c>
      <c r="AP2" s="1" t="s">
        <v>262</v>
      </c>
      <c r="AQ2" s="134" t="s">
        <v>262</v>
      </c>
      <c r="AR2" s="1" t="s">
        <v>262</v>
      </c>
      <c r="AS2" s="1">
        <v>0</v>
      </c>
      <c r="AT2" s="1">
        <v>0</v>
      </c>
      <c r="AU2" s="1">
        <v>0</v>
      </c>
      <c r="AV2" s="1">
        <v>0</v>
      </c>
      <c r="AW2" s="1">
        <v>160</v>
      </c>
      <c r="AX2" s="1">
        <v>75</v>
      </c>
      <c r="AY2" s="1">
        <v>115</v>
      </c>
      <c r="AZ2" s="1">
        <f>((AW2)+(AX2*2))/3</f>
        <v>103.33333333333333</v>
      </c>
      <c r="BA2" s="1">
        <v>114</v>
      </c>
      <c r="BB2" s="1">
        <v>60</v>
      </c>
      <c r="BC2" s="1">
        <v>100</v>
      </c>
      <c r="BD2" s="1">
        <v>1.5</v>
      </c>
      <c r="BE2" s="1">
        <f>((BA2)+(BB2*2))/3</f>
        <v>78</v>
      </c>
      <c r="BF2" s="37">
        <v>95</v>
      </c>
      <c r="BG2" s="1">
        <v>50</v>
      </c>
      <c r="BH2" s="1">
        <v>100</v>
      </c>
      <c r="BI2" s="1">
        <v>1.1000000000000001</v>
      </c>
      <c r="BJ2" s="1">
        <f>((BF2)+(BG2*2))/3</f>
        <v>65</v>
      </c>
      <c r="BK2" s="1">
        <v>95</v>
      </c>
      <c r="BL2" s="1">
        <v>50</v>
      </c>
      <c r="BM2" s="1">
        <v>115</v>
      </c>
      <c r="BN2" s="1">
        <v>1.1000000000000001</v>
      </c>
      <c r="BO2" s="1">
        <f>((BK2)+(BL2*2))/3</f>
        <v>65</v>
      </c>
      <c r="BP2" s="37">
        <v>105</v>
      </c>
      <c r="BQ2" s="1">
        <v>60</v>
      </c>
      <c r="BR2" s="1">
        <v>110</v>
      </c>
      <c r="BS2" s="1">
        <v>1</v>
      </c>
      <c r="BT2" s="1">
        <f>((BQ2*2)+BP2)/3</f>
        <v>75</v>
      </c>
      <c r="BU2" s="1">
        <v>0</v>
      </c>
      <c r="BV2" s="1">
        <v>0</v>
      </c>
      <c r="BW2" s="1">
        <v>0</v>
      </c>
      <c r="BX2" s="1">
        <v>0</v>
      </c>
      <c r="BY2" s="1">
        <v>0</v>
      </c>
      <c r="BZ2" s="1">
        <v>120</v>
      </c>
      <c r="CA2" s="1">
        <v>1.5</v>
      </c>
      <c r="CB2" s="1">
        <v>0</v>
      </c>
      <c r="CC2" s="1">
        <v>5</v>
      </c>
      <c r="CD2" s="1">
        <v>0</v>
      </c>
      <c r="CE2" s="1">
        <v>0</v>
      </c>
      <c r="CF2" s="37">
        <v>0</v>
      </c>
    </row>
    <row r="3" spans="1:84" customFormat="1" ht="15" customHeight="1">
      <c r="A3" s="1">
        <v>2</v>
      </c>
      <c r="B3" s="1">
        <v>1</v>
      </c>
      <c r="C3" s="1">
        <v>0</v>
      </c>
      <c r="D3" s="5">
        <v>77</v>
      </c>
      <c r="E3" s="5">
        <v>72</v>
      </c>
      <c r="F3" s="5">
        <v>170</v>
      </c>
      <c r="G3" s="101">
        <f t="shared" ref="G3:G34" si="1">E3/(F3/100)^2</f>
        <v>24.913494809688583</v>
      </c>
      <c r="H3" s="5">
        <v>0</v>
      </c>
      <c r="I3" s="5">
        <v>4</v>
      </c>
      <c r="J3" s="138">
        <v>6</v>
      </c>
      <c r="K3" s="138">
        <v>0</v>
      </c>
      <c r="L3" s="138">
        <v>2</v>
      </c>
      <c r="M3" s="141" t="s">
        <v>261</v>
      </c>
      <c r="N3" s="1">
        <v>4</v>
      </c>
      <c r="O3" s="1">
        <v>1</v>
      </c>
      <c r="P3" s="1">
        <v>4</v>
      </c>
      <c r="Q3" s="1">
        <v>1</v>
      </c>
      <c r="R3" s="1">
        <v>1</v>
      </c>
      <c r="S3" s="1">
        <v>0</v>
      </c>
      <c r="T3" s="103">
        <v>0</v>
      </c>
      <c r="U3" s="103">
        <v>3</v>
      </c>
      <c r="V3" s="103">
        <v>0</v>
      </c>
      <c r="W3" s="6">
        <v>0</v>
      </c>
      <c r="X3" s="103"/>
      <c r="Y3" s="103">
        <v>0</v>
      </c>
      <c r="Z3" s="81">
        <v>0</v>
      </c>
      <c r="AA3" s="1">
        <v>1</v>
      </c>
      <c r="AB3" s="1">
        <v>0</v>
      </c>
      <c r="AC3" s="1">
        <v>2</v>
      </c>
      <c r="AD3" s="1">
        <v>0</v>
      </c>
      <c r="AE3" s="1"/>
      <c r="AF3" s="1">
        <v>1</v>
      </c>
      <c r="AG3" s="1">
        <v>0</v>
      </c>
      <c r="AH3" s="3">
        <v>0</v>
      </c>
      <c r="AI3" s="3">
        <v>0</v>
      </c>
      <c r="AJ3" s="3">
        <v>1</v>
      </c>
      <c r="AK3" s="3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32">
        <v>0</v>
      </c>
      <c r="AR3">
        <v>0</v>
      </c>
      <c r="AS3" s="1">
        <v>0</v>
      </c>
      <c r="AT3" s="1">
        <v>1</v>
      </c>
      <c r="AU3">
        <v>0</v>
      </c>
      <c r="AV3" s="1">
        <v>1</v>
      </c>
      <c r="AW3" s="1">
        <v>170</v>
      </c>
      <c r="AX3" s="1">
        <v>85</v>
      </c>
      <c r="AY3" s="1">
        <v>85</v>
      </c>
      <c r="AZ3" s="1">
        <f t="shared" ref="AZ3:AZ58" si="2">((AW3)+(AX3*2))/3</f>
        <v>113.33333333333333</v>
      </c>
      <c r="BA3" s="1">
        <v>100</v>
      </c>
      <c r="BB3" s="1">
        <v>60</v>
      </c>
      <c r="BC3" s="1">
        <v>70</v>
      </c>
      <c r="BD3" s="1">
        <v>1.5</v>
      </c>
      <c r="BE3" s="1">
        <f t="shared" ref="BE3:BE58" si="3">((BA3)+(BB3*2))/3</f>
        <v>73.333333333333329</v>
      </c>
      <c r="BF3" s="37">
        <v>130</v>
      </c>
      <c r="BG3" s="1">
        <v>70</v>
      </c>
      <c r="BH3" s="1">
        <v>70</v>
      </c>
      <c r="BI3" s="1">
        <v>1.3</v>
      </c>
      <c r="BJ3" s="1">
        <f t="shared" ref="BJ3:BJ58" si="4">((BF3)+(BG3*2))/3</f>
        <v>90</v>
      </c>
      <c r="BK3" s="1">
        <v>130</v>
      </c>
      <c r="BL3" s="1">
        <v>70</v>
      </c>
      <c r="BM3" s="1">
        <v>80</v>
      </c>
      <c r="BN3" s="1">
        <v>1.3</v>
      </c>
      <c r="BO3" s="1">
        <f>((BK3)+(BL3*2))/3</f>
        <v>90</v>
      </c>
      <c r="BP3" s="37">
        <v>130</v>
      </c>
      <c r="BQ3" s="1">
        <v>65</v>
      </c>
      <c r="BR3" s="1">
        <v>80</v>
      </c>
      <c r="BS3" s="1">
        <v>1.3</v>
      </c>
      <c r="BT3" s="1">
        <f t="shared" ref="BT3:BT58" si="5">((BQ3*2)+BP3)/3</f>
        <v>86.666666666666671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140</v>
      </c>
      <c r="CA3" s="1">
        <v>1.5</v>
      </c>
      <c r="CB3" s="1">
        <v>0</v>
      </c>
      <c r="CC3" s="1">
        <v>0</v>
      </c>
      <c r="CD3" s="1">
        <v>0</v>
      </c>
      <c r="CE3" s="1">
        <v>0</v>
      </c>
      <c r="CF3" s="37">
        <v>0</v>
      </c>
    </row>
    <row r="4" spans="1:84" customFormat="1" ht="14.25" customHeight="1">
      <c r="A4" s="1">
        <v>3</v>
      </c>
      <c r="B4" s="1">
        <v>1</v>
      </c>
      <c r="C4" s="1">
        <v>0</v>
      </c>
      <c r="D4" s="5">
        <v>65</v>
      </c>
      <c r="E4" s="5">
        <v>77</v>
      </c>
      <c r="F4" s="5">
        <v>156</v>
      </c>
      <c r="G4" s="101">
        <f t="shared" si="1"/>
        <v>31.640368178829714</v>
      </c>
      <c r="H4" s="5">
        <v>1</v>
      </c>
      <c r="I4" s="5">
        <v>4</v>
      </c>
      <c r="J4" s="138">
        <v>5.3</v>
      </c>
      <c r="K4" s="138">
        <v>0</v>
      </c>
      <c r="L4" s="138">
        <v>2</v>
      </c>
      <c r="M4" s="140" t="s">
        <v>261</v>
      </c>
      <c r="N4" s="1">
        <v>4</v>
      </c>
      <c r="O4" s="1">
        <v>2</v>
      </c>
      <c r="P4" s="1">
        <v>4</v>
      </c>
      <c r="Q4" s="1">
        <v>4</v>
      </c>
      <c r="R4" s="1">
        <v>1</v>
      </c>
      <c r="S4" s="1">
        <v>0</v>
      </c>
      <c r="T4" s="103">
        <v>0</v>
      </c>
      <c r="U4" s="103">
        <v>3</v>
      </c>
      <c r="V4" s="103">
        <v>0</v>
      </c>
      <c r="W4" s="6">
        <v>1</v>
      </c>
      <c r="X4" s="103">
        <v>1</v>
      </c>
      <c r="Y4" s="103">
        <v>0</v>
      </c>
      <c r="Z4" s="81">
        <v>0</v>
      </c>
      <c r="AA4" s="1">
        <v>1</v>
      </c>
      <c r="AB4" s="1">
        <v>0</v>
      </c>
      <c r="AC4" s="1">
        <v>0</v>
      </c>
      <c r="AD4" s="1">
        <v>0</v>
      </c>
      <c r="AE4" s="1"/>
      <c r="AF4" s="1">
        <v>0</v>
      </c>
      <c r="AG4" s="1">
        <v>0</v>
      </c>
      <c r="AH4" s="3">
        <v>1</v>
      </c>
      <c r="AI4" s="3">
        <v>0</v>
      </c>
      <c r="AJ4" s="3">
        <v>1</v>
      </c>
      <c r="AK4" s="3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32">
        <v>0</v>
      </c>
      <c r="AR4">
        <v>0</v>
      </c>
      <c r="AS4" s="1">
        <v>0</v>
      </c>
      <c r="AT4" s="1">
        <v>0</v>
      </c>
      <c r="AU4">
        <v>0</v>
      </c>
      <c r="AV4" s="1">
        <v>1</v>
      </c>
      <c r="AW4" s="1">
        <v>130</v>
      </c>
      <c r="AX4" s="1">
        <v>65</v>
      </c>
      <c r="AY4" s="1">
        <v>80</v>
      </c>
      <c r="AZ4" s="1">
        <f t="shared" si="2"/>
        <v>86.666666666666671</v>
      </c>
      <c r="BA4" s="1">
        <v>115</v>
      </c>
      <c r="BB4" s="1">
        <v>60</v>
      </c>
      <c r="BC4" s="1">
        <v>70</v>
      </c>
      <c r="BD4" s="1">
        <v>1.3</v>
      </c>
      <c r="BE4" s="1">
        <f t="shared" si="3"/>
        <v>78.333333333333329</v>
      </c>
      <c r="BF4" s="37">
        <v>115</v>
      </c>
      <c r="BG4" s="1">
        <v>60</v>
      </c>
      <c r="BH4" s="1">
        <v>75</v>
      </c>
      <c r="BI4" s="1">
        <v>1.3</v>
      </c>
      <c r="BJ4" s="1">
        <f t="shared" si="4"/>
        <v>78.333333333333329</v>
      </c>
      <c r="BK4" s="1">
        <v>105</v>
      </c>
      <c r="BL4" s="1">
        <v>60</v>
      </c>
      <c r="BM4" s="1">
        <v>75</v>
      </c>
      <c r="BN4" s="1">
        <v>1.3</v>
      </c>
      <c r="BO4" s="1">
        <f t="shared" ref="BO4:BO58" si="6">((BK4)+(BL4*2))/3</f>
        <v>75</v>
      </c>
      <c r="BP4" s="37">
        <v>100</v>
      </c>
      <c r="BQ4" s="1">
        <v>55</v>
      </c>
      <c r="BR4" s="1">
        <v>75</v>
      </c>
      <c r="BS4" s="1">
        <v>1.3</v>
      </c>
      <c r="BT4" s="1">
        <f t="shared" si="5"/>
        <v>70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110</v>
      </c>
      <c r="CA4" s="1">
        <v>1.3</v>
      </c>
      <c r="CB4" s="1">
        <v>0</v>
      </c>
      <c r="CC4" s="1">
        <v>0</v>
      </c>
      <c r="CD4" s="1">
        <v>0</v>
      </c>
      <c r="CE4" s="1">
        <v>0</v>
      </c>
      <c r="CF4" s="37">
        <v>0</v>
      </c>
    </row>
    <row r="5" spans="1:84" customFormat="1" ht="14.25" customHeight="1">
      <c r="A5" s="1">
        <v>4</v>
      </c>
      <c r="B5" s="1">
        <v>1</v>
      </c>
      <c r="C5" s="1">
        <v>1</v>
      </c>
      <c r="D5" s="5">
        <v>43</v>
      </c>
      <c r="E5" s="5">
        <v>68</v>
      </c>
      <c r="F5" s="5">
        <v>176</v>
      </c>
      <c r="G5" s="101">
        <f t="shared" si="1"/>
        <v>21.952479338842977</v>
      </c>
      <c r="H5" s="5">
        <v>0</v>
      </c>
      <c r="I5" s="5">
        <v>4</v>
      </c>
      <c r="J5" s="138">
        <v>1.3</v>
      </c>
      <c r="K5" s="138">
        <v>0</v>
      </c>
      <c r="L5" s="138">
        <v>0</v>
      </c>
      <c r="M5" s="140" t="s">
        <v>261</v>
      </c>
      <c r="N5" s="1">
        <v>4</v>
      </c>
      <c r="O5" s="1">
        <v>1</v>
      </c>
      <c r="P5" s="1">
        <v>3</v>
      </c>
      <c r="Q5" s="1">
        <v>4</v>
      </c>
      <c r="R5" s="1">
        <v>1</v>
      </c>
      <c r="S5" s="1">
        <v>0</v>
      </c>
      <c r="T5" s="103">
        <v>0</v>
      </c>
      <c r="U5" s="103">
        <v>0</v>
      </c>
      <c r="V5" s="103">
        <v>0</v>
      </c>
      <c r="W5" s="6">
        <v>0</v>
      </c>
      <c r="X5" s="103"/>
      <c r="Y5" s="103">
        <v>0</v>
      </c>
      <c r="Z5" s="81">
        <v>0</v>
      </c>
      <c r="AA5" s="1">
        <v>1</v>
      </c>
      <c r="AB5" s="1">
        <v>0</v>
      </c>
      <c r="AC5" s="1">
        <v>0</v>
      </c>
      <c r="AD5" s="1">
        <v>1</v>
      </c>
      <c r="AE5" s="1"/>
      <c r="AF5" s="1">
        <v>0</v>
      </c>
      <c r="AG5" s="1">
        <v>0</v>
      </c>
      <c r="AH5" s="3">
        <v>1</v>
      </c>
      <c r="AI5" s="3">
        <v>0</v>
      </c>
      <c r="AJ5" s="3">
        <v>1</v>
      </c>
      <c r="AK5" s="3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32">
        <v>0</v>
      </c>
      <c r="AR5">
        <v>0</v>
      </c>
      <c r="AS5" s="1">
        <v>0</v>
      </c>
      <c r="AT5" s="1">
        <v>0</v>
      </c>
      <c r="AU5">
        <v>0</v>
      </c>
      <c r="AV5" s="1">
        <v>0</v>
      </c>
      <c r="AW5" s="1">
        <v>120</v>
      </c>
      <c r="AX5" s="1">
        <v>70</v>
      </c>
      <c r="AY5" s="1">
        <v>75</v>
      </c>
      <c r="AZ5" s="1">
        <f t="shared" si="2"/>
        <v>86.666666666666671</v>
      </c>
      <c r="BA5" s="1">
        <v>115</v>
      </c>
      <c r="BB5" s="1">
        <v>80</v>
      </c>
      <c r="BC5" s="1">
        <v>80</v>
      </c>
      <c r="BD5" s="1">
        <v>1.6</v>
      </c>
      <c r="BE5" s="1">
        <f t="shared" si="3"/>
        <v>91.666666666666671</v>
      </c>
      <c r="BF5" s="37">
        <v>110</v>
      </c>
      <c r="BG5" s="1">
        <v>60</v>
      </c>
      <c r="BH5" s="1">
        <v>80</v>
      </c>
      <c r="BI5" s="1">
        <v>1.2</v>
      </c>
      <c r="BJ5" s="1">
        <f t="shared" si="4"/>
        <v>76.666666666666671</v>
      </c>
      <c r="BK5" s="1">
        <v>100</v>
      </c>
      <c r="BL5" s="1">
        <v>40</v>
      </c>
      <c r="BM5" s="1">
        <v>70</v>
      </c>
      <c r="BN5" s="1">
        <v>1.1000000000000001</v>
      </c>
      <c r="BO5" s="1">
        <f t="shared" si="6"/>
        <v>60</v>
      </c>
      <c r="BP5" s="37">
        <v>100</v>
      </c>
      <c r="BQ5" s="1">
        <v>55</v>
      </c>
      <c r="BR5" s="1">
        <v>65</v>
      </c>
      <c r="BS5" s="1">
        <v>1.1000000000000001</v>
      </c>
      <c r="BT5" s="1">
        <f t="shared" si="5"/>
        <v>70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140</v>
      </c>
      <c r="CA5" s="1">
        <v>1.6</v>
      </c>
      <c r="CB5" s="1">
        <v>0</v>
      </c>
      <c r="CC5" s="1">
        <v>0</v>
      </c>
      <c r="CD5" s="1">
        <v>0</v>
      </c>
      <c r="CE5" s="1">
        <v>20</v>
      </c>
      <c r="CF5" s="37">
        <v>0</v>
      </c>
    </row>
    <row r="6" spans="1:84" customFormat="1" ht="15" customHeight="1">
      <c r="A6" s="1">
        <v>5</v>
      </c>
      <c r="B6" s="1">
        <v>1</v>
      </c>
      <c r="C6" s="1">
        <v>1</v>
      </c>
      <c r="D6" s="5">
        <v>79</v>
      </c>
      <c r="E6" s="5">
        <v>66</v>
      </c>
      <c r="F6" s="5">
        <v>170</v>
      </c>
      <c r="G6" s="101">
        <f t="shared" si="1"/>
        <v>22.837370242214536</v>
      </c>
      <c r="H6" s="5">
        <v>0</v>
      </c>
      <c r="I6" s="5">
        <v>4</v>
      </c>
      <c r="J6" s="138">
        <v>8.5</v>
      </c>
      <c r="K6" s="142">
        <v>1</v>
      </c>
      <c r="L6" s="142">
        <v>1</v>
      </c>
      <c r="M6" s="140" t="s">
        <v>261</v>
      </c>
      <c r="N6" s="1">
        <v>4</v>
      </c>
      <c r="O6" s="1">
        <v>4</v>
      </c>
      <c r="P6" s="1">
        <v>3</v>
      </c>
      <c r="Q6" s="1">
        <v>3</v>
      </c>
      <c r="R6" s="1">
        <v>1</v>
      </c>
      <c r="S6" s="1">
        <v>2</v>
      </c>
      <c r="T6" s="103">
        <v>3</v>
      </c>
      <c r="U6" s="103">
        <v>3</v>
      </c>
      <c r="V6" s="103">
        <v>2</v>
      </c>
      <c r="W6" s="6">
        <v>0</v>
      </c>
      <c r="X6" s="103"/>
      <c r="Y6" s="103">
        <v>0</v>
      </c>
      <c r="Z6" s="81">
        <v>0</v>
      </c>
      <c r="AA6" s="1">
        <v>0</v>
      </c>
      <c r="AB6" s="1">
        <v>1</v>
      </c>
      <c r="AC6" s="1">
        <v>2</v>
      </c>
      <c r="AD6" s="1">
        <v>1</v>
      </c>
      <c r="AE6" s="1">
        <v>0</v>
      </c>
      <c r="AF6" s="1">
        <v>1</v>
      </c>
      <c r="AG6" s="1">
        <v>0</v>
      </c>
      <c r="AH6" s="3">
        <v>1</v>
      </c>
      <c r="AI6" s="3">
        <v>1</v>
      </c>
      <c r="AJ6" s="3">
        <v>1</v>
      </c>
      <c r="AK6" s="3">
        <v>1</v>
      </c>
      <c r="AL6" s="1">
        <v>0</v>
      </c>
      <c r="AM6" s="1">
        <v>1</v>
      </c>
      <c r="AN6" s="1">
        <v>0</v>
      </c>
      <c r="AO6" s="1">
        <v>0</v>
      </c>
      <c r="AP6" s="1">
        <v>0</v>
      </c>
      <c r="AQ6" s="132">
        <v>0</v>
      </c>
      <c r="AR6">
        <v>1</v>
      </c>
      <c r="AS6" s="1">
        <v>0</v>
      </c>
      <c r="AT6" s="1">
        <v>0</v>
      </c>
      <c r="AU6">
        <v>0</v>
      </c>
      <c r="AV6" s="1">
        <v>0</v>
      </c>
      <c r="AW6" s="1">
        <v>130</v>
      </c>
      <c r="AX6" s="1">
        <v>50</v>
      </c>
      <c r="AY6" s="1">
        <v>60</v>
      </c>
      <c r="AZ6" s="1">
        <f t="shared" si="2"/>
        <v>76.666666666666671</v>
      </c>
      <c r="BA6" s="1">
        <v>130</v>
      </c>
      <c r="BB6" s="1">
        <v>50</v>
      </c>
      <c r="BC6" s="1">
        <v>60</v>
      </c>
      <c r="BD6" s="1">
        <v>1.2</v>
      </c>
      <c r="BE6" s="1">
        <f t="shared" si="3"/>
        <v>76.666666666666671</v>
      </c>
      <c r="BF6" s="37">
        <v>115</v>
      </c>
      <c r="BG6" s="1">
        <v>40</v>
      </c>
      <c r="BH6" s="1">
        <v>60</v>
      </c>
      <c r="BI6" s="1">
        <v>1.2</v>
      </c>
      <c r="BJ6" s="1">
        <f t="shared" si="4"/>
        <v>65</v>
      </c>
      <c r="BK6" s="1">
        <v>110</v>
      </c>
      <c r="BL6" s="1">
        <v>45</v>
      </c>
      <c r="BM6" s="1">
        <v>60</v>
      </c>
      <c r="BN6" s="3" t="s">
        <v>263</v>
      </c>
      <c r="BO6" s="1">
        <f t="shared" si="6"/>
        <v>66.666666666666671</v>
      </c>
      <c r="BP6" s="37">
        <v>125</v>
      </c>
      <c r="BQ6" s="1">
        <v>50</v>
      </c>
      <c r="BR6" s="1">
        <v>60</v>
      </c>
      <c r="BS6" s="1">
        <v>0.8</v>
      </c>
      <c r="BT6" s="1">
        <f t="shared" si="5"/>
        <v>75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100</v>
      </c>
      <c r="CA6" s="1">
        <v>1.2</v>
      </c>
      <c r="CB6" s="1">
        <v>0</v>
      </c>
      <c r="CC6" s="1">
        <v>0</v>
      </c>
      <c r="CD6" s="1">
        <v>0</v>
      </c>
      <c r="CE6" s="1">
        <v>0</v>
      </c>
      <c r="CF6" s="37">
        <v>0</v>
      </c>
    </row>
    <row r="7" spans="1:84" customFormat="1" ht="15" customHeight="1">
      <c r="A7" s="1">
        <v>6</v>
      </c>
      <c r="B7" s="1">
        <v>1</v>
      </c>
      <c r="C7" s="1">
        <v>1</v>
      </c>
      <c r="D7" s="5">
        <v>89</v>
      </c>
      <c r="E7" s="5">
        <v>58</v>
      </c>
      <c r="F7" s="5">
        <v>176</v>
      </c>
      <c r="G7" s="101">
        <f t="shared" si="1"/>
        <v>18.724173553719009</v>
      </c>
      <c r="H7" s="5">
        <v>0</v>
      </c>
      <c r="I7" s="5">
        <v>4</v>
      </c>
      <c r="J7" s="138">
        <v>8.3000000000000007</v>
      </c>
      <c r="K7" s="138">
        <v>0</v>
      </c>
      <c r="L7" s="138">
        <v>1</v>
      </c>
      <c r="M7" s="139" t="s">
        <v>261</v>
      </c>
      <c r="N7" s="1">
        <v>4</v>
      </c>
      <c r="O7" s="1">
        <v>2</v>
      </c>
      <c r="P7" s="1">
        <v>2</v>
      </c>
      <c r="Q7" s="1">
        <v>4</v>
      </c>
      <c r="R7" s="1">
        <v>1</v>
      </c>
      <c r="S7" s="1">
        <v>0</v>
      </c>
      <c r="T7" s="103">
        <v>0</v>
      </c>
      <c r="U7" s="103">
        <v>2</v>
      </c>
      <c r="V7" s="103">
        <v>0</v>
      </c>
      <c r="W7" s="6">
        <v>0</v>
      </c>
      <c r="X7" s="103"/>
      <c r="Y7" s="103">
        <v>0</v>
      </c>
      <c r="Z7" s="81">
        <v>0</v>
      </c>
      <c r="AA7" s="1">
        <v>1</v>
      </c>
      <c r="AB7" s="1">
        <v>1</v>
      </c>
      <c r="AC7" s="1">
        <v>0</v>
      </c>
      <c r="AD7" s="1">
        <v>1</v>
      </c>
      <c r="AE7" s="1">
        <v>0</v>
      </c>
      <c r="AF7" s="1">
        <v>0</v>
      </c>
      <c r="AG7" s="1">
        <v>0</v>
      </c>
      <c r="AH7" s="3">
        <v>0</v>
      </c>
      <c r="AI7" s="3">
        <v>0</v>
      </c>
      <c r="AJ7" s="3">
        <v>1</v>
      </c>
      <c r="AK7" s="3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32">
        <v>0</v>
      </c>
      <c r="AR7" s="1">
        <v>1</v>
      </c>
      <c r="AS7" s="1">
        <v>0</v>
      </c>
      <c r="AT7" s="1">
        <v>0</v>
      </c>
      <c r="AU7" s="1">
        <v>0</v>
      </c>
      <c r="AV7" s="1">
        <v>0</v>
      </c>
      <c r="AW7" s="1">
        <v>145</v>
      </c>
      <c r="AX7" s="1">
        <v>60</v>
      </c>
      <c r="AY7" s="1">
        <v>75</v>
      </c>
      <c r="AZ7" s="1">
        <f t="shared" si="2"/>
        <v>88.333333333333329</v>
      </c>
      <c r="BA7" s="1">
        <v>160</v>
      </c>
      <c r="BB7" s="1">
        <v>90</v>
      </c>
      <c r="BC7" s="1">
        <v>90</v>
      </c>
      <c r="BD7" s="1">
        <v>1</v>
      </c>
      <c r="BE7" s="1">
        <f t="shared" si="3"/>
        <v>113.33333333333333</v>
      </c>
      <c r="BF7" s="37">
        <v>100</v>
      </c>
      <c r="BG7" s="1">
        <v>55</v>
      </c>
      <c r="BH7" s="1">
        <v>60</v>
      </c>
      <c r="BI7" s="1">
        <v>1</v>
      </c>
      <c r="BJ7" s="1">
        <f t="shared" si="4"/>
        <v>70</v>
      </c>
      <c r="BK7" s="1">
        <v>85</v>
      </c>
      <c r="BL7" s="1">
        <v>45</v>
      </c>
      <c r="BM7" s="1">
        <v>60</v>
      </c>
      <c r="BN7" s="1">
        <v>1</v>
      </c>
      <c r="BO7" s="1">
        <f t="shared" si="6"/>
        <v>58.333333333333336</v>
      </c>
      <c r="BP7" s="37">
        <v>120</v>
      </c>
      <c r="BQ7" s="1">
        <v>65</v>
      </c>
      <c r="BR7" s="1">
        <v>60</v>
      </c>
      <c r="BS7" s="1">
        <v>1</v>
      </c>
      <c r="BT7" s="1">
        <f t="shared" si="5"/>
        <v>83.333333333333329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90</v>
      </c>
      <c r="CA7" s="1">
        <v>1</v>
      </c>
      <c r="CB7" s="1">
        <v>0</v>
      </c>
      <c r="CC7" s="1">
        <v>3</v>
      </c>
      <c r="CD7" s="1">
        <v>0</v>
      </c>
      <c r="CE7" s="1">
        <v>0</v>
      </c>
      <c r="CF7" s="37">
        <v>0</v>
      </c>
    </row>
    <row r="8" spans="1:84" customFormat="1" ht="15" customHeight="1">
      <c r="A8" s="1">
        <v>7</v>
      </c>
      <c r="B8" s="1">
        <v>1</v>
      </c>
      <c r="C8" s="1">
        <v>1</v>
      </c>
      <c r="D8" s="5">
        <v>81</v>
      </c>
      <c r="E8" s="5">
        <v>60</v>
      </c>
      <c r="F8" s="5">
        <v>161</v>
      </c>
      <c r="G8" s="101">
        <f t="shared" si="1"/>
        <v>23.147255121330193</v>
      </c>
      <c r="H8" s="5">
        <v>0</v>
      </c>
      <c r="I8" s="5">
        <v>4</v>
      </c>
      <c r="J8" s="138">
        <v>5</v>
      </c>
      <c r="K8" s="138">
        <v>0</v>
      </c>
      <c r="L8" s="138">
        <v>2</v>
      </c>
      <c r="M8" s="139" t="s">
        <v>261</v>
      </c>
      <c r="N8" s="1">
        <v>4</v>
      </c>
      <c r="O8" s="1">
        <v>0</v>
      </c>
      <c r="P8" s="1">
        <v>0</v>
      </c>
      <c r="Q8" s="1">
        <v>2</v>
      </c>
      <c r="R8" s="1">
        <v>1</v>
      </c>
      <c r="S8" s="1">
        <v>0</v>
      </c>
      <c r="T8" s="103">
        <v>0</v>
      </c>
      <c r="U8" s="103">
        <v>2</v>
      </c>
      <c r="V8" s="103">
        <v>0</v>
      </c>
      <c r="W8" s="6">
        <v>0</v>
      </c>
      <c r="X8" s="103"/>
      <c r="Y8" s="103">
        <v>0</v>
      </c>
      <c r="Z8" s="81">
        <v>0</v>
      </c>
      <c r="AA8" s="1">
        <v>0</v>
      </c>
      <c r="AB8" s="1">
        <v>0</v>
      </c>
      <c r="AC8" s="1">
        <v>0</v>
      </c>
      <c r="AD8" s="1">
        <v>1</v>
      </c>
      <c r="AE8" s="1">
        <v>0</v>
      </c>
      <c r="AF8" s="1">
        <v>0</v>
      </c>
      <c r="AG8" s="1">
        <v>1</v>
      </c>
      <c r="AH8" s="3">
        <v>0</v>
      </c>
      <c r="AI8" s="3">
        <v>0</v>
      </c>
      <c r="AJ8" s="3">
        <v>0</v>
      </c>
      <c r="AK8" s="3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32">
        <v>0</v>
      </c>
      <c r="AR8">
        <v>0</v>
      </c>
      <c r="AS8" s="1">
        <v>0</v>
      </c>
      <c r="AT8" s="1">
        <v>0</v>
      </c>
      <c r="AU8">
        <v>0</v>
      </c>
      <c r="AV8" s="1">
        <v>0</v>
      </c>
      <c r="AW8" s="1">
        <v>145</v>
      </c>
      <c r="AX8" s="1">
        <v>80</v>
      </c>
      <c r="AY8" s="1">
        <v>80</v>
      </c>
      <c r="AZ8" s="1">
        <f t="shared" si="2"/>
        <v>101.66666666666667</v>
      </c>
      <c r="BA8" s="1">
        <v>125</v>
      </c>
      <c r="BB8" s="1">
        <v>70</v>
      </c>
      <c r="BC8" s="1">
        <v>70</v>
      </c>
      <c r="BD8" s="1">
        <v>0.9</v>
      </c>
      <c r="BE8" s="1">
        <f t="shared" si="3"/>
        <v>88.333333333333329</v>
      </c>
      <c r="BF8" s="37">
        <v>115</v>
      </c>
      <c r="BG8" s="1">
        <v>45</v>
      </c>
      <c r="BH8" s="1">
        <v>65</v>
      </c>
      <c r="BI8" s="1">
        <v>0.9</v>
      </c>
      <c r="BJ8" s="1">
        <f t="shared" si="4"/>
        <v>68.333333333333329</v>
      </c>
      <c r="BK8" s="1">
        <v>110</v>
      </c>
      <c r="BL8" s="1">
        <v>50</v>
      </c>
      <c r="BM8" s="1">
        <v>60</v>
      </c>
      <c r="BN8" s="1">
        <v>0.9</v>
      </c>
      <c r="BO8" s="1">
        <f t="shared" si="6"/>
        <v>70</v>
      </c>
      <c r="BP8" s="37">
        <v>100</v>
      </c>
      <c r="BQ8" s="1">
        <v>40</v>
      </c>
      <c r="BR8" s="1">
        <v>60</v>
      </c>
      <c r="BS8" s="1">
        <v>0.9</v>
      </c>
      <c r="BT8" s="1">
        <f t="shared" si="5"/>
        <v>60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120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37">
        <v>0</v>
      </c>
    </row>
    <row r="9" spans="1:84" customFormat="1" ht="14.25" customHeight="1">
      <c r="A9" s="1">
        <v>8</v>
      </c>
      <c r="B9" s="1">
        <v>1</v>
      </c>
      <c r="C9" s="1">
        <v>1</v>
      </c>
      <c r="D9" s="5">
        <v>72</v>
      </c>
      <c r="E9" s="5">
        <v>75</v>
      </c>
      <c r="F9" s="5">
        <v>165</v>
      </c>
      <c r="G9" s="101">
        <f t="shared" si="1"/>
        <v>27.548209366391188</v>
      </c>
      <c r="H9" s="5">
        <v>1</v>
      </c>
      <c r="I9" s="5">
        <v>4</v>
      </c>
      <c r="J9" s="138">
        <v>4.2</v>
      </c>
      <c r="K9" s="138">
        <v>0</v>
      </c>
      <c r="L9" s="138">
        <v>2</v>
      </c>
      <c r="M9" s="139" t="s">
        <v>261</v>
      </c>
      <c r="N9" s="1">
        <v>4</v>
      </c>
      <c r="O9" s="1">
        <v>2</v>
      </c>
      <c r="P9" s="1">
        <v>4</v>
      </c>
      <c r="Q9" s="1">
        <v>4</v>
      </c>
      <c r="R9" s="1">
        <v>1</v>
      </c>
      <c r="S9" s="1">
        <v>0</v>
      </c>
      <c r="T9" s="103">
        <v>0</v>
      </c>
      <c r="U9" s="103">
        <v>2</v>
      </c>
      <c r="V9" s="103">
        <v>0</v>
      </c>
      <c r="W9" s="6">
        <v>0</v>
      </c>
      <c r="X9" s="103"/>
      <c r="Y9" s="103">
        <v>0</v>
      </c>
      <c r="Z9" s="81">
        <v>0</v>
      </c>
      <c r="AA9" s="1">
        <v>0</v>
      </c>
      <c r="AB9" s="1">
        <v>0</v>
      </c>
      <c r="AC9" s="1">
        <v>0</v>
      </c>
      <c r="AD9" s="1">
        <v>1</v>
      </c>
      <c r="AE9" s="1">
        <v>0</v>
      </c>
      <c r="AF9" s="1">
        <v>1</v>
      </c>
      <c r="AG9" s="1">
        <v>0</v>
      </c>
      <c r="AH9" s="3">
        <v>1</v>
      </c>
      <c r="AI9" s="3">
        <v>0</v>
      </c>
      <c r="AJ9" s="3">
        <v>1</v>
      </c>
      <c r="AK9" s="3">
        <v>0</v>
      </c>
      <c r="AL9" s="1">
        <v>1</v>
      </c>
      <c r="AM9" s="1">
        <v>9</v>
      </c>
      <c r="AN9" s="1">
        <v>9</v>
      </c>
      <c r="AO9" s="1">
        <v>9</v>
      </c>
      <c r="AP9" s="1">
        <v>9</v>
      </c>
      <c r="AQ9" s="132">
        <v>0</v>
      </c>
      <c r="AR9">
        <v>1</v>
      </c>
      <c r="AS9" s="1">
        <v>0</v>
      </c>
      <c r="AT9" s="1">
        <v>0</v>
      </c>
      <c r="AU9">
        <v>0</v>
      </c>
      <c r="AV9" s="1">
        <v>0</v>
      </c>
      <c r="AW9" s="1">
        <v>125</v>
      </c>
      <c r="AX9" s="1">
        <v>70</v>
      </c>
      <c r="AY9" s="1">
        <v>70</v>
      </c>
      <c r="AZ9" s="1">
        <f t="shared" si="2"/>
        <v>88.333333333333329</v>
      </c>
      <c r="BA9" s="1">
        <v>105</v>
      </c>
      <c r="BB9" s="1">
        <v>60</v>
      </c>
      <c r="BC9" s="1">
        <v>70</v>
      </c>
      <c r="BD9" s="1">
        <v>0.9</v>
      </c>
      <c r="BE9" s="1">
        <f t="shared" si="3"/>
        <v>75</v>
      </c>
      <c r="BF9" s="37">
        <v>100</v>
      </c>
      <c r="BG9" s="1">
        <v>60</v>
      </c>
      <c r="BH9" s="1">
        <v>70</v>
      </c>
      <c r="BI9">
        <v>0.9</v>
      </c>
      <c r="BJ9" s="1">
        <f t="shared" si="4"/>
        <v>73.333333333333329</v>
      </c>
      <c r="BK9" s="1">
        <v>110</v>
      </c>
      <c r="BL9" s="1">
        <v>60</v>
      </c>
      <c r="BM9" s="1">
        <v>70</v>
      </c>
      <c r="BN9" s="1">
        <v>0.9</v>
      </c>
      <c r="BO9" s="1">
        <f t="shared" si="6"/>
        <v>76.666666666666671</v>
      </c>
      <c r="BP9" s="37">
        <v>100</v>
      </c>
      <c r="BQ9" s="1">
        <v>50</v>
      </c>
      <c r="BR9" s="1">
        <v>60</v>
      </c>
      <c r="BS9" s="1">
        <v>0.9</v>
      </c>
      <c r="BT9" s="1">
        <f t="shared" si="5"/>
        <v>66.666666666666671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140</v>
      </c>
      <c r="CA9" s="1">
        <v>0.9</v>
      </c>
      <c r="CB9" s="1">
        <v>0</v>
      </c>
      <c r="CC9" s="1">
        <v>0</v>
      </c>
      <c r="CD9" s="1">
        <v>0</v>
      </c>
      <c r="CE9" s="1">
        <v>0</v>
      </c>
      <c r="CF9" s="37">
        <v>0</v>
      </c>
    </row>
    <row r="10" spans="1:84" customFormat="1" ht="15" customHeight="1">
      <c r="A10" s="1">
        <v>9</v>
      </c>
      <c r="B10" s="1">
        <v>1</v>
      </c>
      <c r="C10" s="1">
        <v>0</v>
      </c>
      <c r="D10" s="5">
        <v>86</v>
      </c>
      <c r="E10" s="5">
        <v>68</v>
      </c>
      <c r="F10" s="5">
        <v>159</v>
      </c>
      <c r="G10" s="101">
        <f t="shared" si="1"/>
        <v>26.897670187097027</v>
      </c>
      <c r="H10" s="5">
        <v>1</v>
      </c>
      <c r="I10" s="5">
        <v>4</v>
      </c>
      <c r="J10" s="138">
        <v>7.8</v>
      </c>
      <c r="K10" s="138">
        <v>0</v>
      </c>
      <c r="L10" s="138">
        <v>3</v>
      </c>
      <c r="M10" s="139" t="s">
        <v>261</v>
      </c>
      <c r="N10" s="1">
        <v>4</v>
      </c>
      <c r="O10" s="1">
        <v>3</v>
      </c>
      <c r="P10" s="1">
        <v>3</v>
      </c>
      <c r="Q10" s="1">
        <v>2</v>
      </c>
      <c r="R10" s="1">
        <v>1</v>
      </c>
      <c r="S10" s="1">
        <v>2</v>
      </c>
      <c r="T10" s="103">
        <v>2</v>
      </c>
      <c r="U10" s="103">
        <v>3</v>
      </c>
      <c r="V10" s="103">
        <v>0</v>
      </c>
      <c r="W10" s="6">
        <v>0</v>
      </c>
      <c r="X10" s="103"/>
      <c r="Y10" s="103">
        <v>0</v>
      </c>
      <c r="Z10" s="81">
        <v>0</v>
      </c>
      <c r="AA10" s="1">
        <v>1</v>
      </c>
      <c r="AB10" s="1">
        <v>1</v>
      </c>
      <c r="AC10" s="1">
        <v>0</v>
      </c>
      <c r="AD10" s="1">
        <v>1</v>
      </c>
      <c r="AE10" s="1">
        <v>0</v>
      </c>
      <c r="AF10" s="1"/>
      <c r="AG10" s="1">
        <v>0</v>
      </c>
      <c r="AH10" s="3">
        <v>1</v>
      </c>
      <c r="AI10" s="3">
        <v>1</v>
      </c>
      <c r="AJ10" s="3">
        <v>1</v>
      </c>
      <c r="AK10" s="3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32">
        <v>1</v>
      </c>
      <c r="AR10">
        <v>0</v>
      </c>
      <c r="AS10" s="1">
        <v>0</v>
      </c>
      <c r="AT10" s="1">
        <v>1</v>
      </c>
      <c r="AU10">
        <v>0</v>
      </c>
      <c r="AV10" s="1">
        <v>1</v>
      </c>
      <c r="AW10" s="1">
        <v>140</v>
      </c>
      <c r="AX10" s="1">
        <v>80</v>
      </c>
      <c r="AY10" s="1">
        <v>75</v>
      </c>
      <c r="AZ10" s="1">
        <f t="shared" si="2"/>
        <v>100</v>
      </c>
      <c r="BA10" s="1">
        <v>165</v>
      </c>
      <c r="BB10" s="1">
        <v>75</v>
      </c>
      <c r="BC10" s="1">
        <v>85</v>
      </c>
      <c r="BD10" s="1">
        <v>1.8</v>
      </c>
      <c r="BE10" s="1">
        <f t="shared" si="3"/>
        <v>105</v>
      </c>
      <c r="BF10" s="37">
        <v>125</v>
      </c>
      <c r="BG10" s="1">
        <v>55</v>
      </c>
      <c r="BH10" s="1">
        <v>60</v>
      </c>
      <c r="BI10" s="1">
        <v>1.8</v>
      </c>
      <c r="BJ10" s="1">
        <f t="shared" si="4"/>
        <v>78.333333333333329</v>
      </c>
      <c r="BK10" s="1">
        <v>100</v>
      </c>
      <c r="BL10" s="1">
        <v>50</v>
      </c>
      <c r="BM10" s="1">
        <v>60</v>
      </c>
      <c r="BN10" s="1">
        <v>1.6</v>
      </c>
      <c r="BO10" s="1">
        <f t="shared" si="6"/>
        <v>66.666666666666671</v>
      </c>
      <c r="BP10" s="37">
        <v>100</v>
      </c>
      <c r="BQ10" s="1">
        <v>50</v>
      </c>
      <c r="BR10" s="1">
        <v>55</v>
      </c>
      <c r="BS10" s="1">
        <v>1.3</v>
      </c>
      <c r="BT10" s="1">
        <f t="shared" si="5"/>
        <v>66.666666666666671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70</v>
      </c>
      <c r="CA10" s="1">
        <v>1.8</v>
      </c>
      <c r="CB10" s="1">
        <v>0</v>
      </c>
      <c r="CC10" s="1">
        <v>0</v>
      </c>
      <c r="CD10" s="1">
        <v>0</v>
      </c>
      <c r="CE10" s="1">
        <v>0</v>
      </c>
      <c r="CF10" s="37">
        <v>0</v>
      </c>
    </row>
    <row r="11" spans="1:84" customFormat="1" ht="14.25" customHeight="1">
      <c r="A11" s="1">
        <v>10</v>
      </c>
      <c r="B11" s="1">
        <v>1</v>
      </c>
      <c r="C11" s="1">
        <v>1</v>
      </c>
      <c r="D11" s="5">
        <v>60</v>
      </c>
      <c r="E11" s="5">
        <v>85</v>
      </c>
      <c r="F11" s="5">
        <v>186</v>
      </c>
      <c r="G11" s="101">
        <f t="shared" si="1"/>
        <v>24.56931437160365</v>
      </c>
      <c r="H11" s="5">
        <v>0</v>
      </c>
      <c r="I11" s="5">
        <v>4</v>
      </c>
      <c r="J11" s="138">
        <v>1.8</v>
      </c>
      <c r="K11" s="138">
        <v>0</v>
      </c>
      <c r="L11" s="138">
        <v>0</v>
      </c>
      <c r="M11" s="139" t="s">
        <v>261</v>
      </c>
      <c r="N11" s="1">
        <v>4</v>
      </c>
      <c r="O11" s="1">
        <v>2</v>
      </c>
      <c r="P11" s="1">
        <v>3</v>
      </c>
      <c r="Q11" s="1">
        <v>3</v>
      </c>
      <c r="R11" s="1">
        <v>1</v>
      </c>
      <c r="S11" s="1">
        <v>0</v>
      </c>
      <c r="T11" s="103">
        <v>0</v>
      </c>
      <c r="U11" s="103">
        <v>1</v>
      </c>
      <c r="V11" s="103">
        <v>0</v>
      </c>
      <c r="W11" s="6">
        <v>0</v>
      </c>
      <c r="X11" s="103"/>
      <c r="Y11" s="103">
        <v>1</v>
      </c>
      <c r="Z11" s="81">
        <v>0</v>
      </c>
      <c r="AA11" s="1">
        <v>0</v>
      </c>
      <c r="AB11" s="1">
        <v>0</v>
      </c>
      <c r="AC11" s="1">
        <v>0</v>
      </c>
      <c r="AD11" s="1">
        <v>1</v>
      </c>
      <c r="AE11" s="1">
        <v>0</v>
      </c>
      <c r="AF11" s="1">
        <v>1</v>
      </c>
      <c r="AG11" s="1">
        <v>0</v>
      </c>
      <c r="AH11" s="3">
        <v>1</v>
      </c>
      <c r="AI11" s="3">
        <v>0</v>
      </c>
      <c r="AJ11" s="3">
        <v>1</v>
      </c>
      <c r="AK11" s="3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32">
        <v>1</v>
      </c>
      <c r="AR11">
        <v>0</v>
      </c>
      <c r="AS11" s="1">
        <v>0</v>
      </c>
      <c r="AT11" s="1">
        <v>0</v>
      </c>
      <c r="AU11">
        <v>0</v>
      </c>
      <c r="AV11" s="1">
        <v>1</v>
      </c>
      <c r="AW11" s="1">
        <v>110</v>
      </c>
      <c r="AX11" s="1">
        <v>75</v>
      </c>
      <c r="AY11" s="1">
        <v>80</v>
      </c>
      <c r="AZ11" s="1">
        <f t="shared" si="2"/>
        <v>86.666666666666671</v>
      </c>
      <c r="BA11" s="1">
        <v>90</v>
      </c>
      <c r="BB11" s="1">
        <v>55</v>
      </c>
      <c r="BC11" s="1">
        <v>70</v>
      </c>
      <c r="BD11" s="1">
        <v>1</v>
      </c>
      <c r="BE11" s="1">
        <f t="shared" si="3"/>
        <v>66.666666666666671</v>
      </c>
      <c r="BF11" s="37">
        <v>90</v>
      </c>
      <c r="BG11" s="1">
        <v>65</v>
      </c>
      <c r="BH11" s="1">
        <v>70</v>
      </c>
      <c r="BI11" s="1">
        <v>1</v>
      </c>
      <c r="BJ11" s="1">
        <f t="shared" si="4"/>
        <v>73.333333333333329</v>
      </c>
      <c r="BK11" s="1">
        <v>95</v>
      </c>
      <c r="BL11" s="1">
        <v>65</v>
      </c>
      <c r="BM11" s="1">
        <v>70</v>
      </c>
      <c r="BN11" s="1">
        <v>1</v>
      </c>
      <c r="BO11" s="1">
        <f t="shared" si="6"/>
        <v>75</v>
      </c>
      <c r="BP11" s="37">
        <v>90</v>
      </c>
      <c r="BQ11" s="1">
        <v>65</v>
      </c>
      <c r="BR11" s="1">
        <v>70</v>
      </c>
      <c r="BS11" s="1">
        <v>1</v>
      </c>
      <c r="BT11" s="1">
        <f t="shared" si="5"/>
        <v>73.333333333333329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80</v>
      </c>
      <c r="CA11" s="1">
        <v>1</v>
      </c>
      <c r="CB11" s="1">
        <v>0</v>
      </c>
      <c r="CC11" s="1">
        <v>0</v>
      </c>
      <c r="CD11" s="1">
        <v>0</v>
      </c>
      <c r="CE11" s="1">
        <v>0</v>
      </c>
      <c r="CF11" s="37">
        <v>0</v>
      </c>
    </row>
    <row r="12" spans="1:84" customFormat="1" ht="14.25" customHeight="1">
      <c r="A12" s="1">
        <v>11</v>
      </c>
      <c r="B12" s="1">
        <v>1</v>
      </c>
      <c r="C12" s="1">
        <v>1</v>
      </c>
      <c r="D12" s="5">
        <v>80</v>
      </c>
      <c r="E12" s="5">
        <v>56</v>
      </c>
      <c r="F12" s="5">
        <v>172</v>
      </c>
      <c r="G12" s="101">
        <f t="shared" si="1"/>
        <v>18.92915089237426</v>
      </c>
      <c r="H12" s="5">
        <v>0</v>
      </c>
      <c r="I12" s="5">
        <v>4</v>
      </c>
      <c r="J12" s="138">
        <v>4.9000000000000004</v>
      </c>
      <c r="K12" s="138">
        <v>0</v>
      </c>
      <c r="L12" s="138">
        <v>1</v>
      </c>
      <c r="M12" s="139" t="s">
        <v>261</v>
      </c>
      <c r="N12" s="1">
        <v>4</v>
      </c>
      <c r="O12" s="1">
        <v>2</v>
      </c>
      <c r="P12" s="1">
        <v>3</v>
      </c>
      <c r="Q12" s="1">
        <v>3</v>
      </c>
      <c r="R12" s="1">
        <v>1</v>
      </c>
      <c r="S12" s="1">
        <v>0</v>
      </c>
      <c r="T12" s="103">
        <v>0</v>
      </c>
      <c r="U12" s="103">
        <v>2</v>
      </c>
      <c r="V12" s="103">
        <v>0</v>
      </c>
      <c r="W12" s="6">
        <v>0</v>
      </c>
      <c r="X12" s="103"/>
      <c r="Y12" s="103">
        <v>0</v>
      </c>
      <c r="Z12" s="81">
        <v>1</v>
      </c>
      <c r="AA12" s="1">
        <v>1</v>
      </c>
      <c r="AB12" s="1">
        <v>1</v>
      </c>
      <c r="AC12" s="1">
        <v>0</v>
      </c>
      <c r="AD12" s="1">
        <v>1</v>
      </c>
      <c r="AE12" s="1">
        <v>0</v>
      </c>
      <c r="AF12" s="1">
        <v>1</v>
      </c>
      <c r="AG12" s="1">
        <v>0</v>
      </c>
      <c r="AH12" s="3">
        <v>1</v>
      </c>
      <c r="AI12" s="3">
        <v>0</v>
      </c>
      <c r="AJ12" s="3">
        <v>1</v>
      </c>
      <c r="AK12" s="3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32">
        <v>0</v>
      </c>
      <c r="AR12">
        <v>1</v>
      </c>
      <c r="AS12" s="1">
        <v>0</v>
      </c>
      <c r="AT12" s="1">
        <v>0</v>
      </c>
      <c r="AU12">
        <v>0</v>
      </c>
      <c r="AV12" s="1">
        <v>0</v>
      </c>
      <c r="AW12" s="1">
        <v>100</v>
      </c>
      <c r="AX12" s="1">
        <v>50</v>
      </c>
      <c r="AY12" s="1">
        <v>60</v>
      </c>
      <c r="AZ12" s="1">
        <f t="shared" si="2"/>
        <v>66.666666666666671</v>
      </c>
      <c r="BA12" s="1">
        <v>90</v>
      </c>
      <c r="BB12" s="1">
        <v>50</v>
      </c>
      <c r="BC12" s="1">
        <v>60</v>
      </c>
      <c r="BD12" s="1">
        <v>1.1000000000000001</v>
      </c>
      <c r="BE12" s="1">
        <f t="shared" si="3"/>
        <v>63.333333333333336</v>
      </c>
      <c r="BF12" s="37">
        <v>105</v>
      </c>
      <c r="BG12" s="1">
        <v>55</v>
      </c>
      <c r="BH12" s="1">
        <v>60</v>
      </c>
      <c r="BI12" s="1">
        <v>0.9</v>
      </c>
      <c r="BJ12" s="1">
        <f t="shared" si="4"/>
        <v>71.666666666666671</v>
      </c>
      <c r="BK12" s="1">
        <v>95</v>
      </c>
      <c r="BL12" s="1">
        <v>50</v>
      </c>
      <c r="BM12" s="1">
        <v>60</v>
      </c>
      <c r="BN12" s="1">
        <v>0.9</v>
      </c>
      <c r="BO12" s="1">
        <f t="shared" si="6"/>
        <v>65</v>
      </c>
      <c r="BP12" s="37">
        <v>90</v>
      </c>
      <c r="BQ12" s="1">
        <v>50</v>
      </c>
      <c r="BR12" s="1">
        <v>60</v>
      </c>
      <c r="BS12" s="1">
        <v>0.9</v>
      </c>
      <c r="BT12" s="1">
        <f t="shared" si="5"/>
        <v>63.333333333333336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60</v>
      </c>
      <c r="CA12" s="1">
        <v>1.1000000000000001</v>
      </c>
      <c r="CB12" s="1">
        <v>0</v>
      </c>
      <c r="CC12" s="1">
        <v>0</v>
      </c>
      <c r="CD12" s="1">
        <v>0</v>
      </c>
      <c r="CE12" s="1">
        <v>0</v>
      </c>
      <c r="CF12" s="37">
        <v>0</v>
      </c>
    </row>
    <row r="13" spans="1:84" customFormat="1" ht="14.25" customHeight="1">
      <c r="A13" s="1">
        <v>12</v>
      </c>
      <c r="B13" s="1">
        <v>1</v>
      </c>
      <c r="C13" s="1">
        <v>1</v>
      </c>
      <c r="D13" s="5">
        <v>58</v>
      </c>
      <c r="E13" s="5">
        <v>70</v>
      </c>
      <c r="F13" s="5">
        <v>184</v>
      </c>
      <c r="G13" s="101">
        <f t="shared" si="1"/>
        <v>20.675803402646501</v>
      </c>
      <c r="H13" s="5">
        <v>0</v>
      </c>
      <c r="I13" s="5">
        <v>4</v>
      </c>
      <c r="J13" s="138">
        <v>3.2</v>
      </c>
      <c r="K13" s="138">
        <v>0</v>
      </c>
      <c r="L13" s="138">
        <v>1</v>
      </c>
      <c r="M13" s="139" t="s">
        <v>261</v>
      </c>
      <c r="N13" s="1">
        <v>4</v>
      </c>
      <c r="O13" s="1">
        <v>2</v>
      </c>
      <c r="P13" s="1">
        <v>3</v>
      </c>
      <c r="Q13" s="1">
        <v>4</v>
      </c>
      <c r="R13" s="1">
        <v>1</v>
      </c>
      <c r="S13" s="1">
        <v>0</v>
      </c>
      <c r="T13" s="103">
        <v>0</v>
      </c>
      <c r="U13" s="103">
        <v>2</v>
      </c>
      <c r="V13" s="103">
        <v>0</v>
      </c>
      <c r="W13" s="6">
        <v>0</v>
      </c>
      <c r="X13" s="103"/>
      <c r="Y13" s="103">
        <v>0</v>
      </c>
      <c r="Z13" s="81">
        <v>0</v>
      </c>
      <c r="AA13" s="1">
        <v>0</v>
      </c>
      <c r="AB13" s="1">
        <v>0</v>
      </c>
      <c r="AC13" s="1">
        <v>1</v>
      </c>
      <c r="AD13" s="1">
        <v>1</v>
      </c>
      <c r="AE13" s="1">
        <v>0</v>
      </c>
      <c r="AF13" s="1">
        <v>1</v>
      </c>
      <c r="AG13" s="1">
        <v>0</v>
      </c>
      <c r="AH13" s="3">
        <v>1</v>
      </c>
      <c r="AI13" s="3">
        <v>0</v>
      </c>
      <c r="AJ13" s="3">
        <v>1</v>
      </c>
      <c r="AK13" s="3">
        <v>0</v>
      </c>
      <c r="AL13" s="1">
        <v>1</v>
      </c>
      <c r="AM13" s="1">
        <v>0</v>
      </c>
      <c r="AN13" s="1">
        <v>0</v>
      </c>
      <c r="AO13" s="1">
        <v>0</v>
      </c>
      <c r="AP13" s="1">
        <v>0</v>
      </c>
      <c r="AQ13" s="132">
        <v>0</v>
      </c>
      <c r="AR13">
        <v>0</v>
      </c>
      <c r="AS13" s="1">
        <v>0</v>
      </c>
      <c r="AT13" s="1">
        <v>0</v>
      </c>
      <c r="AU13">
        <v>0</v>
      </c>
      <c r="AV13" s="1">
        <v>0</v>
      </c>
      <c r="AW13" s="1">
        <v>135</v>
      </c>
      <c r="AX13" s="1">
        <v>75</v>
      </c>
      <c r="AY13" s="1">
        <v>65</v>
      </c>
      <c r="AZ13" s="1">
        <f t="shared" si="2"/>
        <v>95</v>
      </c>
      <c r="BA13" s="1">
        <v>120</v>
      </c>
      <c r="BB13" s="1">
        <v>80</v>
      </c>
      <c r="BC13" s="1">
        <v>75</v>
      </c>
      <c r="BD13" s="1">
        <v>1.1000000000000001</v>
      </c>
      <c r="BE13" s="1">
        <f t="shared" si="3"/>
        <v>93.333333333333329</v>
      </c>
      <c r="BF13" s="37">
        <v>100</v>
      </c>
      <c r="BG13" s="1">
        <v>55</v>
      </c>
      <c r="BH13" s="1">
        <v>50</v>
      </c>
      <c r="BI13" s="1">
        <v>1.1000000000000001</v>
      </c>
      <c r="BJ13" s="1">
        <f t="shared" si="4"/>
        <v>70</v>
      </c>
      <c r="BK13" s="1">
        <v>120</v>
      </c>
      <c r="BL13" s="1">
        <v>60</v>
      </c>
      <c r="BM13" s="1">
        <v>50</v>
      </c>
      <c r="BN13" s="1">
        <v>1.3</v>
      </c>
      <c r="BO13" s="1">
        <f t="shared" si="6"/>
        <v>80</v>
      </c>
      <c r="BP13" s="37">
        <v>100</v>
      </c>
      <c r="BQ13" s="1">
        <v>50</v>
      </c>
      <c r="BR13" s="1">
        <v>40</v>
      </c>
      <c r="BS13" s="1">
        <v>1.3</v>
      </c>
      <c r="BT13" s="1">
        <f t="shared" si="5"/>
        <v>66.666666666666671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100</v>
      </c>
      <c r="CA13" s="1">
        <v>1.1000000000000001</v>
      </c>
      <c r="CB13" s="1">
        <v>0</v>
      </c>
      <c r="CC13" s="1">
        <v>0</v>
      </c>
      <c r="CD13" s="1">
        <v>0</v>
      </c>
      <c r="CE13" s="1">
        <v>0</v>
      </c>
      <c r="CF13" s="37">
        <v>0</v>
      </c>
    </row>
    <row r="14" spans="1:84" customFormat="1" ht="14.25" customHeight="1">
      <c r="A14" s="1">
        <v>13</v>
      </c>
      <c r="B14" s="1">
        <v>1</v>
      </c>
      <c r="C14" s="1">
        <v>1</v>
      </c>
      <c r="D14" s="5">
        <v>86</v>
      </c>
      <c r="E14" s="5">
        <v>85</v>
      </c>
      <c r="F14" s="5">
        <v>174</v>
      </c>
      <c r="G14" s="101">
        <f t="shared" si="1"/>
        <v>28.075042938300964</v>
      </c>
      <c r="H14" s="5">
        <v>1</v>
      </c>
      <c r="I14" s="5">
        <v>4</v>
      </c>
      <c r="J14" s="138">
        <v>7.8</v>
      </c>
      <c r="K14" s="138">
        <v>0</v>
      </c>
      <c r="L14" s="138">
        <v>2</v>
      </c>
      <c r="M14" s="139" t="s">
        <v>261</v>
      </c>
      <c r="N14" s="1">
        <v>4</v>
      </c>
      <c r="O14" s="1">
        <v>3</v>
      </c>
      <c r="P14" s="1">
        <v>3</v>
      </c>
      <c r="Q14" s="1">
        <v>4</v>
      </c>
      <c r="R14" s="1">
        <v>1</v>
      </c>
      <c r="S14" s="1">
        <v>2</v>
      </c>
      <c r="T14" s="103">
        <v>3</v>
      </c>
      <c r="U14" s="103">
        <v>3</v>
      </c>
      <c r="V14" s="103">
        <v>4</v>
      </c>
      <c r="W14" s="6">
        <v>0</v>
      </c>
      <c r="X14" s="103"/>
      <c r="Y14" s="103">
        <v>0</v>
      </c>
      <c r="Z14" s="81">
        <v>0</v>
      </c>
      <c r="AA14" s="1">
        <v>1</v>
      </c>
      <c r="AB14" s="1">
        <v>1</v>
      </c>
      <c r="AC14" s="1">
        <v>2</v>
      </c>
      <c r="AD14" s="1">
        <v>1</v>
      </c>
      <c r="AE14" s="1">
        <v>0</v>
      </c>
      <c r="AF14" s="1">
        <v>1</v>
      </c>
      <c r="AG14" s="1">
        <v>0</v>
      </c>
      <c r="AH14" s="3">
        <v>1</v>
      </c>
      <c r="AI14" s="3">
        <v>0</v>
      </c>
      <c r="AJ14" s="3">
        <v>1</v>
      </c>
      <c r="AK14" s="3">
        <v>0</v>
      </c>
      <c r="AL14" s="1">
        <v>0</v>
      </c>
      <c r="AM14" s="1">
        <v>1</v>
      </c>
      <c r="AN14" s="1">
        <v>0</v>
      </c>
      <c r="AO14" s="1">
        <v>0</v>
      </c>
      <c r="AP14" s="1">
        <v>0</v>
      </c>
      <c r="AQ14" s="132">
        <v>0</v>
      </c>
      <c r="AR14">
        <v>1</v>
      </c>
      <c r="AS14" s="1">
        <v>0</v>
      </c>
      <c r="AT14" s="1">
        <v>0</v>
      </c>
      <c r="AU14">
        <v>0</v>
      </c>
      <c r="AV14" s="1">
        <v>0</v>
      </c>
      <c r="AW14" s="1">
        <v>130</v>
      </c>
      <c r="AX14" s="1">
        <v>70</v>
      </c>
      <c r="AY14" s="1">
        <v>90</v>
      </c>
      <c r="AZ14" s="1">
        <f t="shared" si="2"/>
        <v>90</v>
      </c>
      <c r="BA14" s="1">
        <v>90</v>
      </c>
      <c r="BB14" s="1">
        <v>50</v>
      </c>
      <c r="BC14" s="1">
        <v>75</v>
      </c>
      <c r="BD14" s="1">
        <v>1.1000000000000001</v>
      </c>
      <c r="BE14" s="1">
        <f t="shared" si="3"/>
        <v>63.333333333333336</v>
      </c>
      <c r="BF14" s="37">
        <v>110</v>
      </c>
      <c r="BG14" s="1">
        <v>60</v>
      </c>
      <c r="BH14" s="1">
        <v>75</v>
      </c>
      <c r="BI14" s="1">
        <v>0.7</v>
      </c>
      <c r="BJ14" s="1">
        <f t="shared" si="4"/>
        <v>76.666666666666671</v>
      </c>
      <c r="BK14" s="1">
        <v>125</v>
      </c>
      <c r="BL14" s="1">
        <v>70</v>
      </c>
      <c r="BM14" s="1">
        <v>80</v>
      </c>
      <c r="BN14" s="1">
        <v>0.7</v>
      </c>
      <c r="BO14" s="1">
        <f t="shared" si="6"/>
        <v>88.333333333333329</v>
      </c>
      <c r="BP14" s="37">
        <v>120</v>
      </c>
      <c r="BQ14" s="1">
        <v>65</v>
      </c>
      <c r="BR14" s="1">
        <v>70</v>
      </c>
      <c r="BS14" s="1">
        <v>0.8</v>
      </c>
      <c r="BT14" s="1">
        <f t="shared" si="5"/>
        <v>83.333333333333329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80</v>
      </c>
      <c r="CA14" s="1">
        <v>1.1000000000000001</v>
      </c>
      <c r="CB14" s="1">
        <v>0</v>
      </c>
      <c r="CC14" s="1">
        <v>5</v>
      </c>
      <c r="CD14" s="1">
        <v>0</v>
      </c>
      <c r="CE14" s="1">
        <v>0</v>
      </c>
      <c r="CF14" s="37">
        <v>0</v>
      </c>
    </row>
    <row r="15" spans="1:84" customFormat="1" ht="15" customHeight="1">
      <c r="A15" s="1">
        <v>14</v>
      </c>
      <c r="B15" s="1">
        <v>1</v>
      </c>
      <c r="C15" s="1">
        <v>1</v>
      </c>
      <c r="D15" s="5">
        <v>77</v>
      </c>
      <c r="E15" s="5">
        <v>75</v>
      </c>
      <c r="F15" s="5">
        <v>170</v>
      </c>
      <c r="G15" s="101">
        <f t="shared" si="1"/>
        <v>25.95155709342561</v>
      </c>
      <c r="H15" s="5">
        <v>1</v>
      </c>
      <c r="I15" s="5">
        <v>4</v>
      </c>
      <c r="J15" s="138">
        <v>8.1999999999999993</v>
      </c>
      <c r="K15" s="138">
        <v>1</v>
      </c>
      <c r="L15" s="138">
        <v>1</v>
      </c>
      <c r="M15" s="139" t="s">
        <v>261</v>
      </c>
      <c r="N15" s="1">
        <v>4</v>
      </c>
      <c r="O15" s="1">
        <v>2</v>
      </c>
      <c r="P15" s="1">
        <v>3</v>
      </c>
      <c r="Q15" s="1">
        <v>3</v>
      </c>
      <c r="R15" s="1">
        <v>1</v>
      </c>
      <c r="S15" s="1">
        <v>0</v>
      </c>
      <c r="T15" s="103">
        <v>0</v>
      </c>
      <c r="U15" s="103">
        <v>3</v>
      </c>
      <c r="V15" s="103">
        <v>0</v>
      </c>
      <c r="W15" s="6">
        <v>0</v>
      </c>
      <c r="X15" s="103"/>
      <c r="Y15" s="103">
        <v>0</v>
      </c>
      <c r="Z15" s="81">
        <v>0</v>
      </c>
      <c r="AA15" s="1">
        <v>0</v>
      </c>
      <c r="AB15" s="1">
        <v>1</v>
      </c>
      <c r="AC15" s="1">
        <v>0</v>
      </c>
      <c r="AD15" s="1">
        <v>1</v>
      </c>
      <c r="AE15" s="1">
        <v>0</v>
      </c>
      <c r="AF15" s="1">
        <v>1</v>
      </c>
      <c r="AG15" s="1">
        <v>1</v>
      </c>
      <c r="AH15" s="3">
        <v>0</v>
      </c>
      <c r="AI15" s="3">
        <v>0</v>
      </c>
      <c r="AJ15" s="3">
        <v>1</v>
      </c>
      <c r="AK15" s="3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32">
        <v>0</v>
      </c>
      <c r="AR15" t="s">
        <v>264</v>
      </c>
      <c r="AS15" s="1">
        <v>0</v>
      </c>
      <c r="AT15" s="1">
        <v>0</v>
      </c>
      <c r="AU15">
        <v>0</v>
      </c>
      <c r="AV15" s="1">
        <v>0</v>
      </c>
      <c r="AW15" s="1">
        <v>180</v>
      </c>
      <c r="AX15" s="1">
        <v>75</v>
      </c>
      <c r="AY15" s="1">
        <v>75</v>
      </c>
      <c r="AZ15" s="1">
        <f t="shared" si="2"/>
        <v>110</v>
      </c>
      <c r="BA15" s="1">
        <v>180</v>
      </c>
      <c r="BB15" s="1">
        <v>90</v>
      </c>
      <c r="BC15" s="1">
        <v>70</v>
      </c>
      <c r="BD15" s="1">
        <v>1.5</v>
      </c>
      <c r="BE15" s="1">
        <f t="shared" si="3"/>
        <v>120</v>
      </c>
      <c r="BF15" s="37">
        <v>120</v>
      </c>
      <c r="BG15" s="1">
        <v>60</v>
      </c>
      <c r="BH15" s="1">
        <v>70</v>
      </c>
      <c r="BI15" s="1">
        <v>1.5</v>
      </c>
      <c r="BJ15" s="1">
        <f t="shared" si="4"/>
        <v>80</v>
      </c>
      <c r="BK15" s="1">
        <v>110</v>
      </c>
      <c r="BL15" s="1">
        <v>50</v>
      </c>
      <c r="BM15" s="1">
        <v>60</v>
      </c>
      <c r="BN15" s="1">
        <v>1.2</v>
      </c>
      <c r="BO15" s="1">
        <f t="shared" si="6"/>
        <v>70</v>
      </c>
      <c r="BP15" s="37">
        <v>105</v>
      </c>
      <c r="BQ15" s="1">
        <v>50</v>
      </c>
      <c r="BR15" s="1">
        <v>60</v>
      </c>
      <c r="BS15" s="1">
        <v>1.2</v>
      </c>
      <c r="BT15" s="1">
        <f t="shared" si="5"/>
        <v>68.333333333333329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70</v>
      </c>
      <c r="CA15" s="1">
        <v>1.5</v>
      </c>
      <c r="CB15" s="1">
        <v>0</v>
      </c>
      <c r="CC15" s="1">
        <v>0</v>
      </c>
      <c r="CD15" s="1">
        <v>0</v>
      </c>
      <c r="CE15" s="1">
        <v>0</v>
      </c>
      <c r="CF15" s="37">
        <v>0</v>
      </c>
    </row>
    <row r="16" spans="1:84" customFormat="1" ht="15" customHeight="1">
      <c r="A16" s="1">
        <v>15</v>
      </c>
      <c r="B16" s="1">
        <v>1</v>
      </c>
      <c r="C16" s="1">
        <v>1</v>
      </c>
      <c r="D16" s="5">
        <v>67</v>
      </c>
      <c r="E16" s="5">
        <v>95</v>
      </c>
      <c r="F16" s="5">
        <v>178</v>
      </c>
      <c r="G16" s="101">
        <f t="shared" si="1"/>
        <v>29.983587930816814</v>
      </c>
      <c r="H16" s="5">
        <v>1</v>
      </c>
      <c r="I16" s="5">
        <v>4</v>
      </c>
      <c r="J16" s="138">
        <v>3.8</v>
      </c>
      <c r="K16" s="138">
        <v>0</v>
      </c>
      <c r="L16" s="138">
        <v>1</v>
      </c>
      <c r="M16" s="139" t="s">
        <v>261</v>
      </c>
      <c r="N16" s="1">
        <v>4</v>
      </c>
      <c r="O16" s="1">
        <v>4</v>
      </c>
      <c r="P16" s="1">
        <v>4</v>
      </c>
      <c r="Q16" s="1">
        <v>4</v>
      </c>
      <c r="R16" s="1">
        <v>1</v>
      </c>
      <c r="S16" s="1">
        <v>0</v>
      </c>
      <c r="T16" s="103">
        <v>0</v>
      </c>
      <c r="U16" s="103">
        <v>3</v>
      </c>
      <c r="V16" s="103">
        <v>0</v>
      </c>
      <c r="W16" s="6">
        <v>0</v>
      </c>
      <c r="X16" s="103"/>
      <c r="Y16" s="103">
        <v>0</v>
      </c>
      <c r="Z16" s="81">
        <v>1</v>
      </c>
      <c r="AA16" s="1">
        <v>1</v>
      </c>
      <c r="AB16" s="1">
        <v>1</v>
      </c>
      <c r="AC16" s="1">
        <v>0</v>
      </c>
      <c r="AD16" s="1">
        <v>1</v>
      </c>
      <c r="AE16" s="1">
        <v>0</v>
      </c>
      <c r="AF16" s="1">
        <v>0</v>
      </c>
      <c r="AG16" s="1">
        <v>0</v>
      </c>
      <c r="AH16" s="3">
        <v>0</v>
      </c>
      <c r="AI16" s="3">
        <v>1</v>
      </c>
      <c r="AJ16" s="3">
        <v>1</v>
      </c>
      <c r="AK16" s="3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32">
        <v>0</v>
      </c>
      <c r="AR16">
        <v>0</v>
      </c>
      <c r="AS16" s="1">
        <v>0</v>
      </c>
      <c r="AT16" s="1">
        <v>0</v>
      </c>
      <c r="AU16">
        <v>0</v>
      </c>
      <c r="AV16" s="1">
        <v>0</v>
      </c>
      <c r="AW16" s="1">
        <v>105</v>
      </c>
      <c r="AX16" s="1">
        <v>50</v>
      </c>
      <c r="AY16" s="1">
        <v>60</v>
      </c>
      <c r="AZ16" s="1">
        <f t="shared" si="2"/>
        <v>68.333333333333329</v>
      </c>
      <c r="BA16" s="1">
        <v>95</v>
      </c>
      <c r="BB16" s="1">
        <v>45</v>
      </c>
      <c r="BC16" s="1">
        <v>60</v>
      </c>
      <c r="BD16" s="1">
        <v>1.7</v>
      </c>
      <c r="BE16" s="1">
        <f t="shared" si="3"/>
        <v>61.666666666666664</v>
      </c>
      <c r="BF16" s="37">
        <v>95</v>
      </c>
      <c r="BG16" s="1">
        <v>45</v>
      </c>
      <c r="BH16" s="1">
        <v>60</v>
      </c>
      <c r="BI16" s="1">
        <v>1.3</v>
      </c>
      <c r="BJ16" s="1">
        <f t="shared" si="4"/>
        <v>61.666666666666664</v>
      </c>
      <c r="BK16" s="1">
        <v>115</v>
      </c>
      <c r="BL16" s="1">
        <v>60</v>
      </c>
      <c r="BM16" s="1">
        <v>60</v>
      </c>
      <c r="BN16" s="1">
        <v>1.3</v>
      </c>
      <c r="BO16" s="1">
        <f t="shared" si="6"/>
        <v>78.333333333333329</v>
      </c>
      <c r="BP16" s="37">
        <v>120</v>
      </c>
      <c r="BQ16" s="1">
        <v>60</v>
      </c>
      <c r="BR16" s="1">
        <v>60</v>
      </c>
      <c r="BS16" s="1">
        <v>1.3</v>
      </c>
      <c r="BT16" s="1">
        <f t="shared" si="5"/>
        <v>80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180</v>
      </c>
      <c r="CA16" s="1">
        <v>1.7</v>
      </c>
      <c r="CB16" s="1">
        <v>0</v>
      </c>
      <c r="CC16" s="1">
        <v>0</v>
      </c>
      <c r="CD16" s="1">
        <v>0</v>
      </c>
      <c r="CE16" s="1">
        <v>0</v>
      </c>
      <c r="CF16" s="37">
        <v>0</v>
      </c>
    </row>
    <row r="17" spans="1:84" customFormat="1" ht="14.25" customHeight="1">
      <c r="A17" s="1">
        <v>16</v>
      </c>
      <c r="B17" s="1">
        <v>1</v>
      </c>
      <c r="C17" s="1">
        <v>0</v>
      </c>
      <c r="D17" s="5">
        <v>68</v>
      </c>
      <c r="E17" s="5">
        <v>48</v>
      </c>
      <c r="F17" s="5">
        <v>163</v>
      </c>
      <c r="G17" s="101">
        <f t="shared" si="1"/>
        <v>18.066167337874969</v>
      </c>
      <c r="H17" s="5">
        <v>0</v>
      </c>
      <c r="I17" s="5">
        <v>4</v>
      </c>
      <c r="J17" s="138">
        <v>2.1</v>
      </c>
      <c r="K17" s="138">
        <v>0</v>
      </c>
      <c r="L17" s="138">
        <v>0</v>
      </c>
      <c r="M17" s="139" t="s">
        <v>261</v>
      </c>
      <c r="N17" s="1">
        <v>4</v>
      </c>
      <c r="O17" s="1">
        <v>2</v>
      </c>
      <c r="P17" s="1">
        <v>2</v>
      </c>
      <c r="Q17" s="1">
        <v>1</v>
      </c>
      <c r="R17" s="1">
        <v>1</v>
      </c>
      <c r="S17" s="1">
        <v>0</v>
      </c>
      <c r="T17" s="103">
        <v>0</v>
      </c>
      <c r="U17" s="103">
        <v>0</v>
      </c>
      <c r="V17" s="103">
        <v>0</v>
      </c>
      <c r="W17" s="6">
        <v>0</v>
      </c>
      <c r="X17" s="103"/>
      <c r="Y17" s="103">
        <v>0</v>
      </c>
      <c r="Z17" s="81">
        <v>1</v>
      </c>
      <c r="AA17" s="1">
        <v>1</v>
      </c>
      <c r="AB17" s="1">
        <v>1</v>
      </c>
      <c r="AC17" s="1">
        <v>2</v>
      </c>
      <c r="AD17" s="1">
        <v>1</v>
      </c>
      <c r="AE17" s="1"/>
      <c r="AF17" s="1">
        <v>0</v>
      </c>
      <c r="AG17" s="1">
        <v>0</v>
      </c>
      <c r="AH17" s="3">
        <v>0</v>
      </c>
      <c r="AI17" s="3">
        <v>0</v>
      </c>
      <c r="AJ17" s="3">
        <v>1</v>
      </c>
      <c r="AK17" s="3">
        <v>1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32">
        <v>0</v>
      </c>
      <c r="AR17">
        <v>0</v>
      </c>
      <c r="AS17" s="1">
        <v>0</v>
      </c>
      <c r="AT17" s="1">
        <v>0</v>
      </c>
      <c r="AU17">
        <v>0</v>
      </c>
      <c r="AV17" s="1">
        <v>0</v>
      </c>
      <c r="AW17" s="1">
        <v>130</v>
      </c>
      <c r="AX17" s="1">
        <v>60</v>
      </c>
      <c r="AY17" s="1">
        <v>85</v>
      </c>
      <c r="AZ17" s="1">
        <f t="shared" si="2"/>
        <v>83.333333333333329</v>
      </c>
      <c r="BA17" s="1">
        <v>120</v>
      </c>
      <c r="BB17" s="1">
        <v>60</v>
      </c>
      <c r="BC17" s="1">
        <v>85</v>
      </c>
      <c r="BD17" s="1">
        <v>1.4</v>
      </c>
      <c r="BE17" s="1">
        <f t="shared" si="3"/>
        <v>80</v>
      </c>
      <c r="BF17" s="37">
        <v>120</v>
      </c>
      <c r="BG17" s="1">
        <v>65</v>
      </c>
      <c r="BH17" s="1">
        <v>90</v>
      </c>
      <c r="BI17" s="1">
        <v>1.3</v>
      </c>
      <c r="BJ17" s="1">
        <f t="shared" si="4"/>
        <v>83.333333333333329</v>
      </c>
      <c r="BK17" s="1">
        <v>115</v>
      </c>
      <c r="BL17" s="1">
        <v>70</v>
      </c>
      <c r="BM17" s="1">
        <v>90</v>
      </c>
      <c r="BN17" s="1">
        <v>1.3</v>
      </c>
      <c r="BO17" s="1">
        <f t="shared" si="6"/>
        <v>85</v>
      </c>
      <c r="BP17" s="37">
        <v>120</v>
      </c>
      <c r="BQ17" s="1">
        <v>70</v>
      </c>
      <c r="BR17" s="1">
        <v>90</v>
      </c>
      <c r="BS17" s="1">
        <v>1.3</v>
      </c>
      <c r="BT17" s="1">
        <f t="shared" si="5"/>
        <v>86.666666666666671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100</v>
      </c>
      <c r="CA17" s="1">
        <v>1.4</v>
      </c>
      <c r="CB17" s="1">
        <v>0</v>
      </c>
      <c r="CC17" s="1">
        <v>0</v>
      </c>
      <c r="CD17" s="1">
        <v>0</v>
      </c>
      <c r="CE17" s="1">
        <v>0</v>
      </c>
      <c r="CF17" s="37">
        <v>0</v>
      </c>
    </row>
    <row r="18" spans="1:84" customFormat="1" ht="15" customHeight="1">
      <c r="A18" s="1">
        <v>17</v>
      </c>
      <c r="B18" s="1">
        <v>1</v>
      </c>
      <c r="C18" s="1">
        <v>0</v>
      </c>
      <c r="D18" s="5">
        <v>77</v>
      </c>
      <c r="E18" s="5">
        <v>54</v>
      </c>
      <c r="F18" s="5">
        <v>160</v>
      </c>
      <c r="G18" s="101">
        <f t="shared" si="1"/>
        <v>21.093749999999996</v>
      </c>
      <c r="H18" s="5">
        <v>0</v>
      </c>
      <c r="I18" s="5">
        <v>4</v>
      </c>
      <c r="J18" s="138">
        <v>4.5999999999999996</v>
      </c>
      <c r="K18" s="138">
        <v>0</v>
      </c>
      <c r="L18" s="138">
        <v>0</v>
      </c>
      <c r="M18" s="139" t="s">
        <v>261</v>
      </c>
      <c r="N18" s="1">
        <v>4</v>
      </c>
      <c r="O18" s="1">
        <v>2</v>
      </c>
      <c r="P18" s="1">
        <v>3</v>
      </c>
      <c r="Q18" s="1">
        <v>2</v>
      </c>
      <c r="R18" s="1">
        <v>1</v>
      </c>
      <c r="S18" s="1">
        <v>0</v>
      </c>
      <c r="T18" s="103">
        <v>0</v>
      </c>
      <c r="U18" s="103">
        <v>3</v>
      </c>
      <c r="V18" s="103">
        <v>0</v>
      </c>
      <c r="W18" s="6">
        <v>0</v>
      </c>
      <c r="X18" s="103"/>
      <c r="Y18" s="103">
        <v>1</v>
      </c>
      <c r="Z18" s="81">
        <v>0</v>
      </c>
      <c r="AA18" s="1">
        <v>0</v>
      </c>
      <c r="AB18" s="1">
        <v>0</v>
      </c>
      <c r="AC18" s="1">
        <v>1</v>
      </c>
      <c r="AD18" s="1">
        <v>1</v>
      </c>
      <c r="AE18" s="1">
        <v>0</v>
      </c>
      <c r="AF18" s="1">
        <v>1</v>
      </c>
      <c r="AG18" s="1">
        <v>0</v>
      </c>
      <c r="AH18" s="3">
        <v>1</v>
      </c>
      <c r="AI18" s="3">
        <v>0</v>
      </c>
      <c r="AJ18" s="3">
        <v>1</v>
      </c>
      <c r="AK18" s="3">
        <v>0</v>
      </c>
      <c r="AL18" s="1">
        <v>1</v>
      </c>
      <c r="AM18" s="1">
        <v>1</v>
      </c>
      <c r="AN18" s="1">
        <v>0</v>
      </c>
      <c r="AO18" s="1">
        <v>0</v>
      </c>
      <c r="AP18" s="1">
        <v>0</v>
      </c>
      <c r="AQ18" s="132">
        <v>0</v>
      </c>
      <c r="AR18">
        <v>0</v>
      </c>
      <c r="AS18" s="1">
        <v>0</v>
      </c>
      <c r="AT18" s="1">
        <v>0</v>
      </c>
      <c r="AU18">
        <v>0</v>
      </c>
      <c r="AV18" s="1">
        <v>0</v>
      </c>
      <c r="AW18" s="1">
        <v>140</v>
      </c>
      <c r="AX18" s="1">
        <v>60</v>
      </c>
      <c r="AY18" s="1">
        <v>60</v>
      </c>
      <c r="AZ18" s="1">
        <f t="shared" si="2"/>
        <v>86.666666666666671</v>
      </c>
      <c r="BA18" s="1">
        <v>130</v>
      </c>
      <c r="BB18" s="1">
        <v>70</v>
      </c>
      <c r="BC18" s="1">
        <v>75</v>
      </c>
      <c r="BD18" s="1">
        <v>1.2</v>
      </c>
      <c r="BE18" s="1">
        <f t="shared" si="3"/>
        <v>90</v>
      </c>
      <c r="BF18" s="37">
        <v>130</v>
      </c>
      <c r="BG18" s="1">
        <v>55</v>
      </c>
      <c r="BH18" s="1">
        <v>55</v>
      </c>
      <c r="BI18" s="1">
        <v>1.2</v>
      </c>
      <c r="BJ18" s="1">
        <f t="shared" si="4"/>
        <v>80</v>
      </c>
      <c r="BK18" s="1">
        <v>120</v>
      </c>
      <c r="BL18" s="1">
        <v>60</v>
      </c>
      <c r="BM18" s="1">
        <v>60</v>
      </c>
      <c r="BN18" s="1">
        <v>1.2</v>
      </c>
      <c r="BO18" s="1">
        <f t="shared" si="6"/>
        <v>80</v>
      </c>
      <c r="BP18" s="37">
        <v>130</v>
      </c>
      <c r="BQ18" s="1">
        <v>60</v>
      </c>
      <c r="BR18" s="1">
        <v>70</v>
      </c>
      <c r="BS18" s="1">
        <v>1.2</v>
      </c>
      <c r="BT18" s="1">
        <f t="shared" si="5"/>
        <v>83.333333333333329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100</v>
      </c>
      <c r="CA18" s="1">
        <v>1.2</v>
      </c>
      <c r="CB18" s="1">
        <v>0</v>
      </c>
      <c r="CC18" s="1">
        <v>0</v>
      </c>
      <c r="CD18" s="1">
        <v>0</v>
      </c>
      <c r="CE18" s="1">
        <v>0</v>
      </c>
      <c r="CF18" s="37">
        <v>0</v>
      </c>
    </row>
    <row r="19" spans="1:84" s="108" customFormat="1" ht="15">
      <c r="A19" s="1">
        <v>18</v>
      </c>
      <c r="B19" s="1">
        <v>1</v>
      </c>
      <c r="C19" s="1">
        <v>1</v>
      </c>
      <c r="D19" s="5">
        <v>47</v>
      </c>
      <c r="E19" s="5">
        <v>79</v>
      </c>
      <c r="F19" s="5">
        <v>182</v>
      </c>
      <c r="G19" s="101">
        <f t="shared" si="1"/>
        <v>23.849776597029344</v>
      </c>
      <c r="H19" s="5">
        <v>0</v>
      </c>
      <c r="I19" s="5">
        <v>4</v>
      </c>
      <c r="J19" s="138">
        <v>4.7</v>
      </c>
      <c r="K19" s="138">
        <v>1</v>
      </c>
      <c r="L19" s="138">
        <v>1</v>
      </c>
      <c r="M19" s="139" t="s">
        <v>261</v>
      </c>
      <c r="N19" s="1">
        <v>4</v>
      </c>
      <c r="O19" s="1">
        <v>1</v>
      </c>
      <c r="P19" s="1">
        <v>3</v>
      </c>
      <c r="Q19" s="1">
        <v>4</v>
      </c>
      <c r="R19" s="1">
        <v>0</v>
      </c>
      <c r="S19" s="1">
        <v>0</v>
      </c>
      <c r="T19" s="103">
        <v>0</v>
      </c>
      <c r="U19" s="103">
        <v>3</v>
      </c>
      <c r="V19" s="103">
        <v>0</v>
      </c>
      <c r="W19" s="6">
        <v>0</v>
      </c>
      <c r="X19" s="103"/>
      <c r="Y19" s="103">
        <v>0</v>
      </c>
      <c r="Z19" s="81">
        <v>0</v>
      </c>
      <c r="AA19" s="1">
        <v>1</v>
      </c>
      <c r="AB19" s="1">
        <v>0</v>
      </c>
      <c r="AC19" s="1">
        <v>0</v>
      </c>
      <c r="AD19" s="1">
        <v>1</v>
      </c>
      <c r="AE19" s="1">
        <v>0</v>
      </c>
      <c r="AF19" s="1">
        <v>0</v>
      </c>
      <c r="AG19" s="1">
        <v>0</v>
      </c>
      <c r="AH19" s="3">
        <v>0</v>
      </c>
      <c r="AI19" s="3">
        <v>0</v>
      </c>
      <c r="AJ19" s="3">
        <v>1</v>
      </c>
      <c r="AK19" s="3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32">
        <v>0</v>
      </c>
      <c r="AR19">
        <v>0</v>
      </c>
      <c r="AS19" s="1">
        <v>0</v>
      </c>
      <c r="AT19" s="1">
        <v>0</v>
      </c>
      <c r="AU19">
        <v>0</v>
      </c>
      <c r="AV19" s="1">
        <v>0</v>
      </c>
      <c r="AW19" s="1">
        <v>120</v>
      </c>
      <c r="AX19" s="1">
        <v>60</v>
      </c>
      <c r="AY19" s="1">
        <v>60</v>
      </c>
      <c r="AZ19" s="1">
        <f t="shared" si="2"/>
        <v>80</v>
      </c>
      <c r="BA19" s="1">
        <v>110</v>
      </c>
      <c r="BB19" s="1">
        <v>60</v>
      </c>
      <c r="BC19" s="1">
        <v>60</v>
      </c>
      <c r="BD19" s="1">
        <v>1.4</v>
      </c>
      <c r="BE19" s="1">
        <f t="shared" si="3"/>
        <v>76.666666666666671</v>
      </c>
      <c r="BF19" s="37">
        <v>90</v>
      </c>
      <c r="BG19" s="1">
        <v>45</v>
      </c>
      <c r="BH19" s="1">
        <v>45</v>
      </c>
      <c r="BI19" s="1">
        <v>0.8</v>
      </c>
      <c r="BJ19" s="1">
        <f t="shared" si="4"/>
        <v>60</v>
      </c>
      <c r="BK19" s="1">
        <v>130</v>
      </c>
      <c r="BL19" s="1">
        <v>80</v>
      </c>
      <c r="BM19" s="1">
        <v>70</v>
      </c>
      <c r="BN19" s="1">
        <v>1.1000000000000001</v>
      </c>
      <c r="BO19" s="1">
        <f t="shared" si="6"/>
        <v>96.666666666666671</v>
      </c>
      <c r="BP19" s="37">
        <v>80</v>
      </c>
      <c r="BQ19" s="1">
        <v>40</v>
      </c>
      <c r="BR19" s="1">
        <v>45</v>
      </c>
      <c r="BS19" s="1">
        <v>1</v>
      </c>
      <c r="BT19" s="1">
        <f t="shared" si="5"/>
        <v>53.333333333333336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80</v>
      </c>
      <c r="CA19" s="1">
        <v>1.4</v>
      </c>
      <c r="CB19" s="1">
        <v>0</v>
      </c>
      <c r="CC19" s="1">
        <v>0</v>
      </c>
      <c r="CD19" s="1">
        <v>0</v>
      </c>
      <c r="CE19" s="1">
        <v>0</v>
      </c>
      <c r="CF19" s="37">
        <v>0</v>
      </c>
    </row>
    <row r="20" spans="1:84" customFormat="1" ht="15" customHeight="1">
      <c r="A20" s="1">
        <v>19</v>
      </c>
      <c r="B20" s="1">
        <v>1</v>
      </c>
      <c r="C20" s="1">
        <v>1</v>
      </c>
      <c r="D20" s="5">
        <v>79</v>
      </c>
      <c r="E20" s="5">
        <v>69.900000000000006</v>
      </c>
      <c r="F20" s="5">
        <v>176</v>
      </c>
      <c r="G20" s="101">
        <f t="shared" si="1"/>
        <v>22.565857438016533</v>
      </c>
      <c r="H20" s="5">
        <v>0</v>
      </c>
      <c r="I20" s="5">
        <v>4</v>
      </c>
      <c r="J20" s="138">
        <v>4.8</v>
      </c>
      <c r="K20" s="138">
        <v>0</v>
      </c>
      <c r="L20" s="138">
        <v>1</v>
      </c>
      <c r="M20" s="139" t="s">
        <v>261</v>
      </c>
      <c r="N20" s="1">
        <v>4</v>
      </c>
      <c r="O20" s="1">
        <v>2</v>
      </c>
      <c r="P20" s="1">
        <v>3</v>
      </c>
      <c r="Q20" s="1">
        <v>4</v>
      </c>
      <c r="R20" s="1">
        <v>1</v>
      </c>
      <c r="S20" s="1">
        <v>0</v>
      </c>
      <c r="T20" s="103">
        <v>0</v>
      </c>
      <c r="U20" s="103">
        <v>3</v>
      </c>
      <c r="V20" s="103">
        <v>0</v>
      </c>
      <c r="W20" s="6">
        <v>0</v>
      </c>
      <c r="X20" s="103"/>
      <c r="Y20" s="103">
        <v>0</v>
      </c>
      <c r="Z20" s="81">
        <v>0</v>
      </c>
      <c r="AA20" s="1">
        <v>0</v>
      </c>
      <c r="AB20" s="1">
        <v>1</v>
      </c>
      <c r="AC20" s="1">
        <v>0</v>
      </c>
      <c r="AD20" s="1">
        <v>1</v>
      </c>
      <c r="AE20" s="1">
        <v>0</v>
      </c>
      <c r="AF20" s="1">
        <v>1</v>
      </c>
      <c r="AG20" s="1">
        <v>1</v>
      </c>
      <c r="AH20" s="3">
        <v>0</v>
      </c>
      <c r="AI20" s="3">
        <v>0</v>
      </c>
      <c r="AJ20" s="3">
        <v>1</v>
      </c>
      <c r="AK20" s="3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32">
        <v>0</v>
      </c>
      <c r="AR20">
        <v>0</v>
      </c>
      <c r="AS20" s="1">
        <v>0</v>
      </c>
      <c r="AT20" s="1">
        <v>0</v>
      </c>
      <c r="AU20">
        <v>0</v>
      </c>
      <c r="AV20" s="1">
        <v>0</v>
      </c>
      <c r="AW20" s="1">
        <v>180</v>
      </c>
      <c r="AX20" s="1">
        <v>70</v>
      </c>
      <c r="AY20" s="1">
        <v>55</v>
      </c>
      <c r="AZ20" s="1">
        <f t="shared" si="2"/>
        <v>106.66666666666667</v>
      </c>
      <c r="BA20" s="1">
        <v>130</v>
      </c>
      <c r="BB20" s="1">
        <v>60</v>
      </c>
      <c r="BC20" s="1">
        <v>50</v>
      </c>
      <c r="BD20" s="1">
        <v>1.1000000000000001</v>
      </c>
      <c r="BE20" s="1">
        <f t="shared" si="3"/>
        <v>83.333333333333329</v>
      </c>
      <c r="BF20" s="37">
        <v>110</v>
      </c>
      <c r="BG20" s="1">
        <v>50</v>
      </c>
      <c r="BH20" s="1">
        <v>50</v>
      </c>
      <c r="BI20" s="1">
        <v>0.8</v>
      </c>
      <c r="BJ20" s="1">
        <f t="shared" si="4"/>
        <v>70</v>
      </c>
      <c r="BK20" s="1">
        <v>130</v>
      </c>
      <c r="BL20" s="1">
        <v>60</v>
      </c>
      <c r="BM20" s="1">
        <v>50</v>
      </c>
      <c r="BN20" s="1">
        <v>0.8</v>
      </c>
      <c r="BO20" s="1">
        <f t="shared" si="6"/>
        <v>83.333333333333329</v>
      </c>
      <c r="BP20" s="37">
        <v>120</v>
      </c>
      <c r="BQ20" s="1">
        <v>55</v>
      </c>
      <c r="BR20" s="1">
        <v>45</v>
      </c>
      <c r="BS20" s="1">
        <v>0.8</v>
      </c>
      <c r="BT20" s="1">
        <f t="shared" si="5"/>
        <v>76.666666666666671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140</v>
      </c>
      <c r="CA20" s="1">
        <v>1.1000000000000001</v>
      </c>
      <c r="CB20" s="1">
        <v>0</v>
      </c>
      <c r="CC20" s="1">
        <v>0</v>
      </c>
      <c r="CD20" s="1">
        <v>0</v>
      </c>
      <c r="CE20" s="1">
        <v>0</v>
      </c>
      <c r="CF20" s="37">
        <v>0</v>
      </c>
    </row>
    <row r="21" spans="1:84" customFormat="1" ht="15" customHeight="1">
      <c r="A21" s="1">
        <v>20</v>
      </c>
      <c r="B21" s="1">
        <v>1</v>
      </c>
      <c r="C21" s="1">
        <v>0</v>
      </c>
      <c r="D21" s="5">
        <v>89</v>
      </c>
      <c r="E21" s="5">
        <v>44.4</v>
      </c>
      <c r="F21" s="5">
        <v>151</v>
      </c>
      <c r="G21" s="101">
        <f t="shared" si="1"/>
        <v>19.472830139028989</v>
      </c>
      <c r="H21" s="5">
        <v>0</v>
      </c>
      <c r="I21" s="5">
        <v>4</v>
      </c>
      <c r="J21" s="138">
        <v>5.8</v>
      </c>
      <c r="K21" s="138">
        <v>0</v>
      </c>
      <c r="L21" s="138">
        <v>1</v>
      </c>
      <c r="M21" s="139" t="s">
        <v>261</v>
      </c>
      <c r="N21" s="1">
        <v>4</v>
      </c>
      <c r="O21" s="1">
        <v>2</v>
      </c>
      <c r="P21" s="1">
        <v>3</v>
      </c>
      <c r="Q21" s="1">
        <v>2</v>
      </c>
      <c r="R21" s="1">
        <v>1</v>
      </c>
      <c r="S21" s="1">
        <v>0</v>
      </c>
      <c r="T21" s="103"/>
      <c r="U21" s="103">
        <v>2</v>
      </c>
      <c r="V21" s="103">
        <v>0</v>
      </c>
      <c r="W21" s="6">
        <v>0</v>
      </c>
      <c r="X21" s="103"/>
      <c r="Y21" s="103">
        <v>0</v>
      </c>
      <c r="Z21" s="81">
        <v>0</v>
      </c>
      <c r="AA21" s="1">
        <v>0</v>
      </c>
      <c r="AB21" s="1">
        <v>1</v>
      </c>
      <c r="AC21" s="1">
        <v>0</v>
      </c>
      <c r="AD21" s="1">
        <v>0</v>
      </c>
      <c r="AE21" s="1"/>
      <c r="AF21" s="1">
        <v>0</v>
      </c>
      <c r="AG21" s="1">
        <v>0</v>
      </c>
      <c r="AH21" s="3">
        <v>1</v>
      </c>
      <c r="AI21" s="3">
        <v>0</v>
      </c>
      <c r="AJ21" s="3">
        <v>0</v>
      </c>
      <c r="AK21" s="3">
        <v>0</v>
      </c>
      <c r="AL21" s="1">
        <v>1</v>
      </c>
      <c r="AM21" s="1">
        <v>0</v>
      </c>
      <c r="AN21" s="1">
        <v>0</v>
      </c>
      <c r="AO21" s="1">
        <v>0</v>
      </c>
      <c r="AP21" s="1">
        <v>0</v>
      </c>
      <c r="AQ21" s="132">
        <v>0</v>
      </c>
      <c r="AR21">
        <v>0</v>
      </c>
      <c r="AS21" s="1">
        <v>0</v>
      </c>
      <c r="AT21" s="1">
        <v>0</v>
      </c>
      <c r="AU21">
        <v>0</v>
      </c>
      <c r="AV21" s="1">
        <v>0</v>
      </c>
      <c r="AW21" s="1">
        <v>140</v>
      </c>
      <c r="AX21" s="1">
        <v>85</v>
      </c>
      <c r="AY21" s="1">
        <v>130</v>
      </c>
      <c r="AZ21" s="1">
        <f t="shared" si="2"/>
        <v>103.33333333333333</v>
      </c>
      <c r="BA21" s="1">
        <v>130</v>
      </c>
      <c r="BB21" s="1">
        <v>60</v>
      </c>
      <c r="BC21" s="1">
        <v>140</v>
      </c>
      <c r="BD21" s="1">
        <v>0.9</v>
      </c>
      <c r="BE21" s="1">
        <f t="shared" si="3"/>
        <v>83.333333333333329</v>
      </c>
      <c r="BF21" s="37">
        <v>90</v>
      </c>
      <c r="BG21" s="1">
        <v>40</v>
      </c>
      <c r="BH21" s="1">
        <v>125</v>
      </c>
      <c r="BI21" s="1">
        <v>1.2</v>
      </c>
      <c r="BJ21" s="1">
        <f t="shared" si="4"/>
        <v>56.666666666666664</v>
      </c>
      <c r="BK21" s="1">
        <v>140</v>
      </c>
      <c r="BL21" s="1">
        <v>80</v>
      </c>
      <c r="BM21" s="1">
        <v>120</v>
      </c>
      <c r="BN21" s="1">
        <v>1.2</v>
      </c>
      <c r="BO21" s="1">
        <f t="shared" si="6"/>
        <v>100</v>
      </c>
      <c r="BP21" s="37">
        <v>140</v>
      </c>
      <c r="BQ21" s="1">
        <v>90</v>
      </c>
      <c r="BR21" s="1">
        <v>130</v>
      </c>
      <c r="BS21" s="1">
        <v>1.2</v>
      </c>
      <c r="BT21" s="1">
        <f t="shared" si="5"/>
        <v>106.66666666666667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50</v>
      </c>
      <c r="CA21" s="1">
        <v>0.9</v>
      </c>
      <c r="CB21" s="1">
        <v>0</v>
      </c>
      <c r="CC21" s="1">
        <v>0</v>
      </c>
      <c r="CD21" s="1">
        <v>0</v>
      </c>
      <c r="CE21" s="1">
        <v>10</v>
      </c>
      <c r="CF21" s="37">
        <v>0</v>
      </c>
    </row>
    <row r="22" spans="1:84" customFormat="1" ht="15" customHeight="1">
      <c r="A22" s="1">
        <v>21</v>
      </c>
      <c r="B22" s="1">
        <v>1</v>
      </c>
      <c r="C22" s="1">
        <v>1</v>
      </c>
      <c r="D22" s="5">
        <v>71</v>
      </c>
      <c r="E22" s="5">
        <v>66</v>
      </c>
      <c r="F22" s="5">
        <v>166</v>
      </c>
      <c r="G22" s="101">
        <f t="shared" si="1"/>
        <v>23.951226593119468</v>
      </c>
      <c r="H22" s="5">
        <v>0</v>
      </c>
      <c r="I22" s="5">
        <v>4</v>
      </c>
      <c r="J22" s="138">
        <v>4.0999999999999996</v>
      </c>
      <c r="K22" s="138">
        <v>0</v>
      </c>
      <c r="L22" s="138">
        <v>1</v>
      </c>
      <c r="M22" s="139" t="s">
        <v>261</v>
      </c>
      <c r="N22" s="1">
        <v>4</v>
      </c>
      <c r="O22" s="1">
        <v>3</v>
      </c>
      <c r="P22" s="1">
        <v>3</v>
      </c>
      <c r="Q22" s="1">
        <v>3</v>
      </c>
      <c r="R22" s="1">
        <v>1</v>
      </c>
      <c r="S22" s="1">
        <v>2</v>
      </c>
      <c r="T22" s="103">
        <v>3</v>
      </c>
      <c r="U22" s="103">
        <v>3</v>
      </c>
      <c r="V22" s="103">
        <v>4</v>
      </c>
      <c r="W22" s="6">
        <v>0</v>
      </c>
      <c r="X22" s="103"/>
      <c r="Y22" s="103">
        <v>1</v>
      </c>
      <c r="Z22" s="81">
        <v>0</v>
      </c>
      <c r="AA22" s="1">
        <v>1</v>
      </c>
      <c r="AB22" s="1">
        <v>0</v>
      </c>
      <c r="AC22" s="1">
        <v>0</v>
      </c>
      <c r="AD22" s="1">
        <v>1</v>
      </c>
      <c r="AE22" s="1">
        <v>0</v>
      </c>
      <c r="AF22" s="1">
        <v>1</v>
      </c>
      <c r="AG22" s="1">
        <v>0</v>
      </c>
      <c r="AH22" s="3">
        <v>1</v>
      </c>
      <c r="AI22" s="3">
        <v>1</v>
      </c>
      <c r="AJ22" s="3">
        <v>1</v>
      </c>
      <c r="AK22" s="3">
        <v>0</v>
      </c>
      <c r="AL22" s="1">
        <v>1</v>
      </c>
      <c r="AM22" s="1">
        <v>0</v>
      </c>
      <c r="AN22" s="1">
        <v>0</v>
      </c>
      <c r="AO22" s="1">
        <v>0</v>
      </c>
      <c r="AP22" s="1">
        <v>0</v>
      </c>
      <c r="AQ22" s="132">
        <v>0</v>
      </c>
      <c r="AR22">
        <v>0</v>
      </c>
      <c r="AS22" s="1">
        <v>0</v>
      </c>
      <c r="AT22" s="1">
        <v>0</v>
      </c>
      <c r="AU22">
        <v>0</v>
      </c>
      <c r="AV22" s="1">
        <v>0</v>
      </c>
      <c r="AW22" s="1">
        <v>150</v>
      </c>
      <c r="AX22" s="1">
        <v>50</v>
      </c>
      <c r="AY22" s="1">
        <v>75</v>
      </c>
      <c r="AZ22" s="1">
        <f t="shared" si="2"/>
        <v>83.333333333333329</v>
      </c>
      <c r="BA22" s="1">
        <v>150</v>
      </c>
      <c r="BB22" s="1">
        <v>60</v>
      </c>
      <c r="BC22" s="1">
        <v>80</v>
      </c>
      <c r="BD22" s="1">
        <v>1.2</v>
      </c>
      <c r="BE22" s="1">
        <f t="shared" si="3"/>
        <v>90</v>
      </c>
      <c r="BF22" s="37">
        <v>160</v>
      </c>
      <c r="BG22" s="1">
        <v>60</v>
      </c>
      <c r="BH22" s="1">
        <v>70</v>
      </c>
      <c r="BI22" s="1">
        <v>1.2</v>
      </c>
      <c r="BJ22" s="1">
        <f t="shared" si="4"/>
        <v>93.333333333333329</v>
      </c>
      <c r="BK22" s="1">
        <v>130</v>
      </c>
      <c r="BL22" s="1">
        <v>40</v>
      </c>
      <c r="BM22" s="1">
        <v>55</v>
      </c>
      <c r="BN22" s="1">
        <v>1.2</v>
      </c>
      <c r="BO22" s="1">
        <f t="shared" si="6"/>
        <v>70</v>
      </c>
      <c r="BP22" s="37">
        <v>130</v>
      </c>
      <c r="BQ22" s="1">
        <v>40</v>
      </c>
      <c r="BR22" s="1">
        <v>55</v>
      </c>
      <c r="BS22" s="1">
        <v>1.2</v>
      </c>
      <c r="BT22" s="1">
        <f t="shared" si="5"/>
        <v>70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60</v>
      </c>
      <c r="CA22" s="1">
        <v>1.2</v>
      </c>
      <c r="CB22" s="1">
        <v>0</v>
      </c>
      <c r="CC22" s="1">
        <v>0</v>
      </c>
      <c r="CD22" s="1">
        <v>0</v>
      </c>
      <c r="CE22" s="1">
        <v>0</v>
      </c>
      <c r="CF22" s="37">
        <v>0</v>
      </c>
    </row>
    <row r="23" spans="1:84" customFormat="1" ht="15" customHeight="1">
      <c r="A23" s="1">
        <v>22</v>
      </c>
      <c r="B23" s="1">
        <v>1</v>
      </c>
      <c r="C23" s="1">
        <v>0</v>
      </c>
      <c r="D23" s="5">
        <v>83</v>
      </c>
      <c r="E23" s="5">
        <v>48</v>
      </c>
      <c r="F23" s="5">
        <v>152</v>
      </c>
      <c r="G23" s="101">
        <f t="shared" si="1"/>
        <v>20.775623268698062</v>
      </c>
      <c r="H23" s="5">
        <v>0</v>
      </c>
      <c r="I23" s="5">
        <v>4</v>
      </c>
      <c r="J23" s="138">
        <v>5.2</v>
      </c>
      <c r="K23" s="138">
        <v>0</v>
      </c>
      <c r="L23" s="138">
        <v>1</v>
      </c>
      <c r="M23" s="139" t="s">
        <v>261</v>
      </c>
      <c r="N23" s="1">
        <v>4</v>
      </c>
      <c r="O23" s="1">
        <v>2</v>
      </c>
      <c r="P23" s="1">
        <v>3</v>
      </c>
      <c r="Q23" s="1">
        <v>2</v>
      </c>
      <c r="R23" s="1">
        <v>1</v>
      </c>
      <c r="S23" s="1">
        <v>0</v>
      </c>
      <c r="T23" s="103"/>
      <c r="U23" s="103">
        <v>3</v>
      </c>
      <c r="V23" s="103">
        <v>0</v>
      </c>
      <c r="W23" s="6">
        <v>0</v>
      </c>
      <c r="X23" s="103"/>
      <c r="Y23" s="103">
        <v>0</v>
      </c>
      <c r="Z23" s="81">
        <v>0</v>
      </c>
      <c r="AA23" s="1">
        <v>0</v>
      </c>
      <c r="AB23" s="1">
        <v>0</v>
      </c>
      <c r="AC23" s="1">
        <v>0</v>
      </c>
      <c r="AD23" s="1">
        <v>1</v>
      </c>
      <c r="AE23" s="1">
        <v>0</v>
      </c>
      <c r="AF23" s="1">
        <v>0</v>
      </c>
      <c r="AG23" s="1">
        <v>0</v>
      </c>
      <c r="AH23" s="3">
        <v>0</v>
      </c>
      <c r="AI23" s="3">
        <v>0</v>
      </c>
      <c r="AJ23" s="3">
        <v>1</v>
      </c>
      <c r="AK23" s="3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32">
        <v>0</v>
      </c>
      <c r="AR23">
        <v>1</v>
      </c>
      <c r="AS23" s="1">
        <v>0</v>
      </c>
      <c r="AT23" s="1">
        <v>0</v>
      </c>
      <c r="AU23">
        <v>0</v>
      </c>
      <c r="AV23" s="1">
        <v>0</v>
      </c>
      <c r="AW23" s="1">
        <v>150</v>
      </c>
      <c r="AX23" s="1">
        <v>80</v>
      </c>
      <c r="AY23" s="1">
        <v>80</v>
      </c>
      <c r="AZ23" s="1">
        <f t="shared" si="2"/>
        <v>103.33333333333333</v>
      </c>
      <c r="BA23" s="1">
        <v>140</v>
      </c>
      <c r="BB23" s="1">
        <v>80</v>
      </c>
      <c r="BC23" s="1">
        <v>80</v>
      </c>
      <c r="BD23" s="1">
        <v>1.2</v>
      </c>
      <c r="BE23" s="1">
        <f t="shared" si="3"/>
        <v>100</v>
      </c>
      <c r="BF23" s="37">
        <v>130</v>
      </c>
      <c r="BG23" s="1">
        <v>80</v>
      </c>
      <c r="BH23" s="1">
        <v>75</v>
      </c>
      <c r="BI23" s="1">
        <v>1.2</v>
      </c>
      <c r="BJ23" s="1">
        <f t="shared" si="4"/>
        <v>96.666666666666671</v>
      </c>
      <c r="BK23" s="1">
        <v>130</v>
      </c>
      <c r="BL23" s="1">
        <v>80</v>
      </c>
      <c r="BM23" s="1">
        <v>80</v>
      </c>
      <c r="BN23" s="1">
        <v>1.2</v>
      </c>
      <c r="BO23" s="1">
        <f t="shared" si="6"/>
        <v>96.666666666666671</v>
      </c>
      <c r="BP23" s="37">
        <v>115</v>
      </c>
      <c r="BQ23" s="1">
        <v>70</v>
      </c>
      <c r="BR23" s="1">
        <v>80</v>
      </c>
      <c r="BS23" s="1">
        <v>1.2</v>
      </c>
      <c r="BT23" s="1">
        <f t="shared" si="5"/>
        <v>85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60</v>
      </c>
      <c r="CA23" s="1">
        <v>1.2</v>
      </c>
      <c r="CB23" s="1">
        <v>0</v>
      </c>
      <c r="CC23" s="1">
        <v>0</v>
      </c>
      <c r="CD23" s="1">
        <v>0</v>
      </c>
      <c r="CE23" s="1">
        <v>0</v>
      </c>
      <c r="CF23" s="37">
        <v>0</v>
      </c>
    </row>
    <row r="24" spans="1:84" customFormat="1" ht="14.25" customHeight="1">
      <c r="A24" s="1">
        <v>23</v>
      </c>
      <c r="B24" s="1">
        <v>1</v>
      </c>
      <c r="C24" s="1">
        <v>1</v>
      </c>
      <c r="D24" s="5">
        <v>60</v>
      </c>
      <c r="E24" s="5">
        <v>86</v>
      </c>
      <c r="F24" s="5">
        <v>181</v>
      </c>
      <c r="G24" s="101">
        <f t="shared" si="1"/>
        <v>26.25072494734593</v>
      </c>
      <c r="H24" s="5">
        <v>1</v>
      </c>
      <c r="I24" s="5">
        <v>4</v>
      </c>
      <c r="J24" s="138">
        <v>3.4</v>
      </c>
      <c r="K24" s="138">
        <v>0</v>
      </c>
      <c r="L24" s="138">
        <v>1</v>
      </c>
      <c r="M24" s="139" t="s">
        <v>261</v>
      </c>
      <c r="N24" s="1">
        <v>4</v>
      </c>
      <c r="O24" s="1">
        <v>2</v>
      </c>
      <c r="P24" s="1">
        <v>3</v>
      </c>
      <c r="Q24" s="1">
        <v>4</v>
      </c>
      <c r="R24" s="1">
        <v>1</v>
      </c>
      <c r="S24" s="1">
        <v>0</v>
      </c>
      <c r="T24" s="103"/>
      <c r="U24" s="103">
        <v>2</v>
      </c>
      <c r="V24" s="103">
        <v>0</v>
      </c>
      <c r="W24" s="6">
        <v>0</v>
      </c>
      <c r="X24" s="103"/>
      <c r="Y24" s="103">
        <v>1</v>
      </c>
      <c r="Z24" s="81">
        <v>0</v>
      </c>
      <c r="AA24" s="1">
        <v>1</v>
      </c>
      <c r="AB24" s="1">
        <v>1</v>
      </c>
      <c r="AC24" s="1">
        <v>2</v>
      </c>
      <c r="AD24" s="1">
        <v>1</v>
      </c>
      <c r="AE24" s="1">
        <v>0</v>
      </c>
      <c r="AF24" s="1">
        <v>1</v>
      </c>
      <c r="AG24" s="1">
        <v>0</v>
      </c>
      <c r="AH24" s="3">
        <v>1</v>
      </c>
      <c r="AI24" s="3">
        <v>0</v>
      </c>
      <c r="AJ24" s="3">
        <v>0</v>
      </c>
      <c r="AK24" s="3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32">
        <v>0</v>
      </c>
      <c r="AR24">
        <v>0</v>
      </c>
      <c r="AS24" s="1">
        <v>0</v>
      </c>
      <c r="AT24" s="1">
        <v>0</v>
      </c>
      <c r="AU24">
        <v>0</v>
      </c>
      <c r="AV24" s="1">
        <v>0</v>
      </c>
      <c r="AW24" s="1">
        <v>150</v>
      </c>
      <c r="AX24" s="1">
        <v>80</v>
      </c>
      <c r="AY24" s="1">
        <v>50</v>
      </c>
      <c r="AZ24" s="1">
        <f t="shared" si="2"/>
        <v>103.33333333333333</v>
      </c>
      <c r="BA24" s="1">
        <v>130</v>
      </c>
      <c r="BB24" s="1">
        <v>80</v>
      </c>
      <c r="BC24" s="1">
        <v>50</v>
      </c>
      <c r="BD24" s="1">
        <v>1.4</v>
      </c>
      <c r="BE24" s="1">
        <f t="shared" si="3"/>
        <v>96.666666666666671</v>
      </c>
      <c r="BF24" s="37">
        <v>120</v>
      </c>
      <c r="BG24" s="1">
        <v>70</v>
      </c>
      <c r="BH24" s="1">
        <v>50</v>
      </c>
      <c r="BI24" s="1">
        <v>1.3</v>
      </c>
      <c r="BJ24" s="1">
        <f t="shared" si="4"/>
        <v>86.666666666666671</v>
      </c>
      <c r="BK24" s="1">
        <v>120</v>
      </c>
      <c r="BL24" s="1">
        <v>70</v>
      </c>
      <c r="BM24" s="1">
        <v>50</v>
      </c>
      <c r="BN24" s="1">
        <v>1.3</v>
      </c>
      <c r="BO24" s="1">
        <f t="shared" si="6"/>
        <v>86.666666666666671</v>
      </c>
      <c r="BP24" s="37">
        <v>115</v>
      </c>
      <c r="BQ24" s="1">
        <v>70</v>
      </c>
      <c r="BR24" s="1">
        <v>50</v>
      </c>
      <c r="BS24" s="1">
        <v>1.3</v>
      </c>
      <c r="BT24" s="1">
        <f t="shared" si="5"/>
        <v>85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180</v>
      </c>
      <c r="CA24" s="1">
        <v>1.4</v>
      </c>
      <c r="CB24" s="1">
        <v>0</v>
      </c>
      <c r="CC24" s="1">
        <v>0</v>
      </c>
      <c r="CD24" s="1">
        <v>0</v>
      </c>
      <c r="CE24" s="1">
        <v>0</v>
      </c>
      <c r="CF24" s="37">
        <v>0</v>
      </c>
    </row>
    <row r="25" spans="1:84" customFormat="1" ht="15" customHeight="1">
      <c r="A25" s="1">
        <v>24</v>
      </c>
      <c r="B25" s="1">
        <v>1</v>
      </c>
      <c r="C25" s="1">
        <v>0</v>
      </c>
      <c r="D25" s="5">
        <v>81</v>
      </c>
      <c r="E25" s="5">
        <v>80</v>
      </c>
      <c r="F25" s="5">
        <v>165</v>
      </c>
      <c r="G25" s="101">
        <f t="shared" si="1"/>
        <v>29.384756657483933</v>
      </c>
      <c r="H25" s="5">
        <v>1</v>
      </c>
      <c r="I25" s="5">
        <v>4</v>
      </c>
      <c r="J25" s="138">
        <v>5</v>
      </c>
      <c r="K25" s="138">
        <v>0</v>
      </c>
      <c r="L25" s="138">
        <v>1</v>
      </c>
      <c r="M25" s="139" t="s">
        <v>261</v>
      </c>
      <c r="N25" s="1">
        <v>4</v>
      </c>
      <c r="O25" s="1">
        <v>2</v>
      </c>
      <c r="P25" s="1">
        <v>3</v>
      </c>
      <c r="Q25" s="1">
        <v>2</v>
      </c>
      <c r="R25" s="1">
        <v>1</v>
      </c>
      <c r="S25" s="1">
        <v>0</v>
      </c>
      <c r="T25" s="103"/>
      <c r="U25" s="103">
        <v>2</v>
      </c>
      <c r="V25" s="103">
        <v>0</v>
      </c>
      <c r="W25" s="6">
        <v>0</v>
      </c>
      <c r="X25" s="103"/>
      <c r="Y25" s="103">
        <v>0</v>
      </c>
      <c r="Z25" s="81">
        <v>0</v>
      </c>
      <c r="AA25" s="1">
        <v>1</v>
      </c>
      <c r="AB25" s="1">
        <v>0</v>
      </c>
      <c r="AC25" s="1">
        <v>0</v>
      </c>
      <c r="AD25" s="1">
        <v>1</v>
      </c>
      <c r="AE25" s="1">
        <v>0</v>
      </c>
      <c r="AF25" s="1">
        <v>1</v>
      </c>
      <c r="AG25" s="1">
        <v>0</v>
      </c>
      <c r="AH25" s="3">
        <v>1</v>
      </c>
      <c r="AI25" s="3">
        <v>1</v>
      </c>
      <c r="AJ25" s="3">
        <v>1</v>
      </c>
      <c r="AK25" s="3">
        <v>0</v>
      </c>
      <c r="AL25" s="1">
        <v>1</v>
      </c>
      <c r="AM25" s="1">
        <v>0</v>
      </c>
      <c r="AN25" s="1">
        <v>0</v>
      </c>
      <c r="AO25" s="1">
        <v>0</v>
      </c>
      <c r="AP25" s="1">
        <v>0</v>
      </c>
      <c r="AQ25" s="132">
        <v>0</v>
      </c>
      <c r="AR25">
        <v>0</v>
      </c>
      <c r="AS25" s="1">
        <v>0</v>
      </c>
      <c r="AT25" s="1">
        <v>0</v>
      </c>
      <c r="AU25">
        <v>0</v>
      </c>
      <c r="AV25" s="1">
        <v>0</v>
      </c>
      <c r="AW25" s="1">
        <v>160</v>
      </c>
      <c r="AX25" s="1">
        <v>70</v>
      </c>
      <c r="AY25" s="1">
        <v>60</v>
      </c>
      <c r="AZ25" s="1">
        <f t="shared" si="2"/>
        <v>100</v>
      </c>
      <c r="BA25" s="1">
        <v>140</v>
      </c>
      <c r="BB25" s="1">
        <v>65</v>
      </c>
      <c r="BC25" s="1">
        <v>55</v>
      </c>
      <c r="BD25" s="1">
        <v>1.3</v>
      </c>
      <c r="BE25" s="1">
        <f t="shared" si="3"/>
        <v>90</v>
      </c>
      <c r="BF25" s="37">
        <v>110</v>
      </c>
      <c r="BG25" s="1">
        <v>50</v>
      </c>
      <c r="BH25" s="1">
        <v>55</v>
      </c>
      <c r="BI25" s="1">
        <v>1.2</v>
      </c>
      <c r="BJ25" s="1">
        <f t="shared" si="4"/>
        <v>70</v>
      </c>
      <c r="BK25" s="1">
        <v>115</v>
      </c>
      <c r="BL25" s="1">
        <v>55</v>
      </c>
      <c r="BM25" s="1">
        <v>50</v>
      </c>
      <c r="BN25" s="1">
        <v>1.2</v>
      </c>
      <c r="BO25" s="1">
        <f t="shared" si="6"/>
        <v>75</v>
      </c>
      <c r="BP25" s="37">
        <v>105</v>
      </c>
      <c r="BQ25" s="1">
        <v>50</v>
      </c>
      <c r="BR25" s="1">
        <v>50</v>
      </c>
      <c r="BS25" s="1">
        <v>1.2</v>
      </c>
      <c r="BT25" s="1">
        <f t="shared" si="5"/>
        <v>68.333333333333329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160</v>
      </c>
      <c r="CA25" s="1">
        <v>1.4</v>
      </c>
      <c r="CB25" s="1">
        <v>0</v>
      </c>
      <c r="CC25" s="1">
        <v>0</v>
      </c>
      <c r="CD25" s="1">
        <v>0</v>
      </c>
      <c r="CE25" s="1">
        <v>0</v>
      </c>
      <c r="CF25" s="37">
        <v>0</v>
      </c>
    </row>
    <row r="26" spans="1:84" customFormat="1" ht="15" customHeight="1">
      <c r="A26" s="1">
        <v>25</v>
      </c>
      <c r="B26" s="1">
        <v>1</v>
      </c>
      <c r="C26" s="1">
        <v>0</v>
      </c>
      <c r="D26" s="5">
        <v>80</v>
      </c>
      <c r="E26" s="5">
        <v>64</v>
      </c>
      <c r="F26" s="5">
        <v>158</v>
      </c>
      <c r="G26" s="101">
        <f t="shared" si="1"/>
        <v>25.63691716071142</v>
      </c>
      <c r="H26" s="5">
        <v>1</v>
      </c>
      <c r="I26" s="5">
        <v>4</v>
      </c>
      <c r="J26" s="138">
        <v>4.9000000000000004</v>
      </c>
      <c r="K26" s="138">
        <v>0</v>
      </c>
      <c r="L26" s="138">
        <v>1</v>
      </c>
      <c r="M26" s="139" t="s">
        <v>261</v>
      </c>
      <c r="N26" s="1">
        <v>4</v>
      </c>
      <c r="O26" s="1">
        <v>2</v>
      </c>
      <c r="P26" s="1">
        <v>3</v>
      </c>
      <c r="Q26" s="1">
        <v>1</v>
      </c>
      <c r="R26" s="1">
        <v>1</v>
      </c>
      <c r="S26" s="1">
        <v>0</v>
      </c>
      <c r="T26" s="103"/>
      <c r="U26" s="103">
        <v>3</v>
      </c>
      <c r="V26" s="103">
        <v>0</v>
      </c>
      <c r="W26" s="6">
        <v>1</v>
      </c>
      <c r="X26" s="103">
        <v>1</v>
      </c>
      <c r="Y26" s="103">
        <v>0</v>
      </c>
      <c r="Z26" s="81">
        <v>1</v>
      </c>
      <c r="AA26" s="1">
        <v>0</v>
      </c>
      <c r="AB26" s="1">
        <v>0</v>
      </c>
      <c r="AC26" s="1">
        <v>0</v>
      </c>
      <c r="AD26" s="1">
        <v>1</v>
      </c>
      <c r="AE26" s="1">
        <v>0</v>
      </c>
      <c r="AF26" s="1">
        <v>0</v>
      </c>
      <c r="AG26" s="1">
        <v>0</v>
      </c>
      <c r="AH26" s="3">
        <v>1</v>
      </c>
      <c r="AI26" s="3">
        <v>0</v>
      </c>
      <c r="AJ26" s="3">
        <v>1</v>
      </c>
      <c r="AK26" s="3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32">
        <v>0</v>
      </c>
      <c r="AR26">
        <v>1</v>
      </c>
      <c r="AS26" s="1">
        <v>0</v>
      </c>
      <c r="AT26" s="1">
        <v>0</v>
      </c>
      <c r="AU26">
        <v>0</v>
      </c>
      <c r="AV26" s="1">
        <v>0</v>
      </c>
      <c r="AW26" s="1">
        <v>190</v>
      </c>
      <c r="AX26" s="1">
        <v>70</v>
      </c>
      <c r="AY26" s="1">
        <v>80</v>
      </c>
      <c r="AZ26" s="1">
        <f t="shared" si="2"/>
        <v>110</v>
      </c>
      <c r="BA26" s="1">
        <v>110</v>
      </c>
      <c r="BB26" s="1">
        <v>60</v>
      </c>
      <c r="BC26" s="1">
        <v>80</v>
      </c>
      <c r="BD26" s="1">
        <v>1.5</v>
      </c>
      <c r="BE26" s="1">
        <f t="shared" si="3"/>
        <v>76.666666666666671</v>
      </c>
      <c r="BF26" s="37">
        <v>140</v>
      </c>
      <c r="BG26" s="1">
        <v>60</v>
      </c>
      <c r="BH26" s="1">
        <v>70</v>
      </c>
      <c r="BI26" s="1">
        <v>1.2</v>
      </c>
      <c r="BJ26" s="1">
        <f t="shared" si="4"/>
        <v>86.666666666666671</v>
      </c>
      <c r="BK26" s="1">
        <v>120</v>
      </c>
      <c r="BL26" s="1">
        <v>50</v>
      </c>
      <c r="BM26" s="1">
        <v>70</v>
      </c>
      <c r="BN26" s="1">
        <v>12</v>
      </c>
      <c r="BO26" s="1">
        <f t="shared" si="6"/>
        <v>73.333333333333329</v>
      </c>
      <c r="BP26" s="37">
        <v>120</v>
      </c>
      <c r="BQ26" s="1">
        <v>55</v>
      </c>
      <c r="BR26" s="1">
        <v>70</v>
      </c>
      <c r="BS26" s="1">
        <v>1.2</v>
      </c>
      <c r="BT26" s="1">
        <f t="shared" si="5"/>
        <v>76.666666666666671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120</v>
      </c>
      <c r="CA26" s="1">
        <v>1.4</v>
      </c>
      <c r="CB26" s="1">
        <v>0</v>
      </c>
      <c r="CC26" s="1">
        <v>3</v>
      </c>
      <c r="CD26" s="1">
        <v>0</v>
      </c>
      <c r="CE26" s="1">
        <v>0</v>
      </c>
      <c r="CF26" s="37">
        <v>0</v>
      </c>
    </row>
    <row r="27" spans="1:84" customFormat="1" ht="15" customHeight="1">
      <c r="A27" s="1">
        <v>26</v>
      </c>
      <c r="B27" s="1">
        <v>1</v>
      </c>
      <c r="C27" s="1">
        <v>1</v>
      </c>
      <c r="D27" s="5">
        <v>86</v>
      </c>
      <c r="E27" s="5">
        <v>60</v>
      </c>
      <c r="F27" s="5">
        <v>158</v>
      </c>
      <c r="G27" s="101">
        <f t="shared" si="1"/>
        <v>24.034609838166958</v>
      </c>
      <c r="H27" s="5">
        <v>0</v>
      </c>
      <c r="I27" s="5">
        <v>4</v>
      </c>
      <c r="J27" s="138">
        <v>7.8</v>
      </c>
      <c r="K27" s="138">
        <v>0</v>
      </c>
      <c r="L27" s="138">
        <v>2</v>
      </c>
      <c r="M27" s="139" t="s">
        <v>261</v>
      </c>
      <c r="N27" s="1">
        <v>4</v>
      </c>
      <c r="O27" s="1">
        <v>2</v>
      </c>
      <c r="P27" s="1">
        <v>4</v>
      </c>
      <c r="Q27" s="1">
        <v>4</v>
      </c>
      <c r="R27" s="1">
        <v>1</v>
      </c>
      <c r="S27" s="1">
        <v>0</v>
      </c>
      <c r="T27" s="103"/>
      <c r="U27" s="103">
        <v>2</v>
      </c>
      <c r="V27" s="103">
        <v>0</v>
      </c>
      <c r="W27" s="6">
        <v>0</v>
      </c>
      <c r="X27" s="103"/>
      <c r="Y27" s="103">
        <v>0</v>
      </c>
      <c r="Z27" s="81">
        <v>0</v>
      </c>
      <c r="AA27" s="1">
        <v>1</v>
      </c>
      <c r="AB27" s="1">
        <v>1</v>
      </c>
      <c r="AC27" s="1">
        <v>0</v>
      </c>
      <c r="AD27" s="1">
        <v>1</v>
      </c>
      <c r="AE27" s="1">
        <v>0</v>
      </c>
      <c r="AF27" s="1">
        <v>1</v>
      </c>
      <c r="AG27" s="1">
        <v>0</v>
      </c>
      <c r="AH27" s="3">
        <v>0</v>
      </c>
      <c r="AI27" s="3">
        <v>0</v>
      </c>
      <c r="AJ27" s="3">
        <v>1</v>
      </c>
      <c r="AK27" s="3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32">
        <v>0</v>
      </c>
      <c r="AR27">
        <v>1</v>
      </c>
      <c r="AS27" s="1">
        <v>0</v>
      </c>
      <c r="AT27" s="1">
        <v>0</v>
      </c>
      <c r="AU27">
        <v>0</v>
      </c>
      <c r="AV27" s="1">
        <v>0</v>
      </c>
      <c r="AW27" s="1">
        <v>140</v>
      </c>
      <c r="AX27" s="1">
        <v>70</v>
      </c>
      <c r="AY27" s="1">
        <v>70</v>
      </c>
      <c r="AZ27" s="1">
        <f t="shared" si="2"/>
        <v>93.333333333333329</v>
      </c>
      <c r="BA27" s="1">
        <v>105</v>
      </c>
      <c r="BB27" s="1">
        <v>55</v>
      </c>
      <c r="BC27" s="1">
        <v>70</v>
      </c>
      <c r="BD27" s="1">
        <v>1.3</v>
      </c>
      <c r="BE27" s="1">
        <f t="shared" si="3"/>
        <v>71.666666666666671</v>
      </c>
      <c r="BF27" s="37">
        <v>100</v>
      </c>
      <c r="BG27" s="1">
        <v>50</v>
      </c>
      <c r="BH27" s="1">
        <v>65</v>
      </c>
      <c r="BI27" s="1">
        <v>1.3</v>
      </c>
      <c r="BJ27" s="1">
        <f t="shared" si="4"/>
        <v>66.666666666666671</v>
      </c>
      <c r="BK27" s="1">
        <v>95</v>
      </c>
      <c r="BL27" s="1">
        <v>50</v>
      </c>
      <c r="BM27" s="1">
        <v>65</v>
      </c>
      <c r="BN27" s="1">
        <v>1.22</v>
      </c>
      <c r="BO27" s="1">
        <f t="shared" si="6"/>
        <v>65</v>
      </c>
      <c r="BP27" s="37">
        <v>95</v>
      </c>
      <c r="BQ27" s="1">
        <v>45</v>
      </c>
      <c r="BR27" s="1">
        <v>65</v>
      </c>
      <c r="BS27" s="1">
        <v>1.2</v>
      </c>
      <c r="BT27" s="1">
        <f t="shared" si="5"/>
        <v>61.666666666666664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120</v>
      </c>
      <c r="CA27" s="1">
        <v>1.3</v>
      </c>
      <c r="CB27" s="1">
        <v>0</v>
      </c>
      <c r="CC27" s="1">
        <v>0</v>
      </c>
      <c r="CD27" s="1">
        <v>0</v>
      </c>
      <c r="CE27" s="1">
        <v>0</v>
      </c>
      <c r="CF27" s="37">
        <v>0</v>
      </c>
    </row>
    <row r="28" spans="1:84" customFormat="1" ht="14.25" customHeight="1">
      <c r="A28" s="1">
        <v>27</v>
      </c>
      <c r="B28" s="1">
        <v>0</v>
      </c>
      <c r="C28" s="1">
        <v>0</v>
      </c>
      <c r="D28" s="5">
        <v>61</v>
      </c>
      <c r="E28" s="5">
        <v>119</v>
      </c>
      <c r="F28" s="5">
        <v>165</v>
      </c>
      <c r="G28" s="101">
        <f t="shared" si="1"/>
        <v>43.70982552800735</v>
      </c>
      <c r="H28" s="5">
        <v>1</v>
      </c>
      <c r="I28" s="5">
        <v>4</v>
      </c>
      <c r="J28" s="138">
        <v>8.6999999999999993</v>
      </c>
      <c r="K28" s="138">
        <v>1</v>
      </c>
      <c r="L28" s="138">
        <v>2</v>
      </c>
      <c r="M28" s="139" t="s">
        <v>261</v>
      </c>
      <c r="N28" s="1">
        <v>4</v>
      </c>
      <c r="O28" s="1">
        <v>2</v>
      </c>
      <c r="P28" s="1">
        <v>4</v>
      </c>
      <c r="Q28" s="1">
        <v>4</v>
      </c>
      <c r="R28" s="1">
        <v>1</v>
      </c>
      <c r="S28" s="1">
        <v>0</v>
      </c>
      <c r="T28" s="103"/>
      <c r="U28" s="103">
        <v>4</v>
      </c>
      <c r="V28" s="103">
        <v>0</v>
      </c>
      <c r="W28" s="6">
        <v>0</v>
      </c>
      <c r="X28" s="103"/>
      <c r="Y28" s="103">
        <v>1</v>
      </c>
      <c r="Z28" s="81">
        <v>0</v>
      </c>
      <c r="AA28" s="1">
        <v>1</v>
      </c>
      <c r="AB28" s="1">
        <v>0</v>
      </c>
      <c r="AC28" s="1">
        <v>2</v>
      </c>
      <c r="AD28" s="1">
        <v>1</v>
      </c>
      <c r="AE28" s="1">
        <v>0</v>
      </c>
      <c r="AF28" s="1">
        <v>1</v>
      </c>
      <c r="AG28" s="1">
        <v>1</v>
      </c>
      <c r="AH28" s="3">
        <v>0</v>
      </c>
      <c r="AI28" s="3">
        <v>0</v>
      </c>
      <c r="AJ28" s="3">
        <v>1</v>
      </c>
      <c r="AK28" s="3">
        <v>0</v>
      </c>
      <c r="AL28" s="1">
        <v>1</v>
      </c>
      <c r="AM28" s="1">
        <v>0</v>
      </c>
      <c r="AN28" s="1">
        <v>0</v>
      </c>
      <c r="AO28" s="1">
        <v>0</v>
      </c>
      <c r="AP28" s="1">
        <v>0</v>
      </c>
      <c r="AQ28" s="132">
        <v>0</v>
      </c>
      <c r="AR28">
        <v>0</v>
      </c>
      <c r="AS28" s="1">
        <v>0</v>
      </c>
      <c r="AT28" s="1">
        <v>0</v>
      </c>
      <c r="AU28">
        <v>0</v>
      </c>
      <c r="AV28" s="1">
        <v>0</v>
      </c>
      <c r="AW28" s="1">
        <v>105</v>
      </c>
      <c r="AX28" s="1">
        <v>60</v>
      </c>
      <c r="AY28" s="1">
        <v>70</v>
      </c>
      <c r="AZ28" s="1">
        <f t="shared" si="2"/>
        <v>75</v>
      </c>
      <c r="BA28" s="1">
        <v>80</v>
      </c>
      <c r="BB28" s="1">
        <v>50</v>
      </c>
      <c r="BC28" s="1">
        <v>80</v>
      </c>
      <c r="BD28" s="1">
        <v>0.5</v>
      </c>
      <c r="BE28" s="1">
        <f t="shared" si="3"/>
        <v>60</v>
      </c>
      <c r="BF28" s="37">
        <v>100</v>
      </c>
      <c r="BG28" s="1">
        <v>65</v>
      </c>
      <c r="BH28" s="1">
        <v>70</v>
      </c>
      <c r="BI28" s="1">
        <v>0.9</v>
      </c>
      <c r="BJ28" s="1">
        <f t="shared" si="4"/>
        <v>76.666666666666671</v>
      </c>
      <c r="BK28" s="1">
        <v>105</v>
      </c>
      <c r="BL28" s="1">
        <v>65</v>
      </c>
      <c r="BM28" s="1">
        <v>70</v>
      </c>
      <c r="BN28" s="1">
        <v>1.1000000000000001</v>
      </c>
      <c r="BO28" s="1">
        <f t="shared" si="6"/>
        <v>78.333333333333329</v>
      </c>
      <c r="BP28" s="37">
        <v>100</v>
      </c>
      <c r="BQ28" s="1">
        <v>60</v>
      </c>
      <c r="BR28" s="1">
        <v>70</v>
      </c>
      <c r="BS28" s="1">
        <v>1.1000000000000001</v>
      </c>
      <c r="BT28" s="1">
        <f t="shared" si="5"/>
        <v>73.333333333333329</v>
      </c>
      <c r="BU28" s="1">
        <v>0</v>
      </c>
      <c r="BV28" s="1">
        <v>30</v>
      </c>
      <c r="BW28" s="1">
        <v>0</v>
      </c>
      <c r="BX28" s="1">
        <v>0</v>
      </c>
      <c r="BY28" s="1">
        <v>0</v>
      </c>
      <c r="BZ28" s="1">
        <v>100</v>
      </c>
      <c r="CA28" s="1">
        <v>0</v>
      </c>
      <c r="CB28" s="1">
        <v>0</v>
      </c>
      <c r="CC28" s="1">
        <v>10</v>
      </c>
      <c r="CD28" s="1">
        <v>0</v>
      </c>
      <c r="CE28" s="1">
        <v>0</v>
      </c>
      <c r="CF28" s="37">
        <v>0</v>
      </c>
    </row>
    <row r="29" spans="1:84" customFormat="1" ht="14.25" customHeight="1">
      <c r="A29" s="1">
        <v>28</v>
      </c>
      <c r="B29" s="1">
        <v>0</v>
      </c>
      <c r="C29" s="1">
        <v>0</v>
      </c>
      <c r="D29" s="5">
        <v>80</v>
      </c>
      <c r="E29" s="5">
        <v>58</v>
      </c>
      <c r="F29" s="5">
        <v>157</v>
      </c>
      <c r="G29" s="101">
        <f t="shared" si="1"/>
        <v>23.530366343462209</v>
      </c>
      <c r="H29" s="5">
        <v>0</v>
      </c>
      <c r="I29" s="5">
        <v>4</v>
      </c>
      <c r="J29" s="138">
        <v>3.4</v>
      </c>
      <c r="K29" s="138">
        <v>0</v>
      </c>
      <c r="L29" s="138">
        <v>1</v>
      </c>
      <c r="M29" s="140" t="s">
        <v>261</v>
      </c>
      <c r="N29" s="1">
        <v>4</v>
      </c>
      <c r="O29" s="1">
        <v>2</v>
      </c>
      <c r="P29" s="1">
        <v>4</v>
      </c>
      <c r="Q29" s="1">
        <v>4</v>
      </c>
      <c r="R29" s="1">
        <v>1</v>
      </c>
      <c r="S29" s="1">
        <v>0</v>
      </c>
      <c r="T29" s="103"/>
      <c r="U29" s="103">
        <v>3</v>
      </c>
      <c r="V29" s="103">
        <v>0</v>
      </c>
      <c r="W29" s="6">
        <v>0</v>
      </c>
      <c r="X29" s="103"/>
      <c r="Y29" s="103">
        <v>1</v>
      </c>
      <c r="Z29" s="81">
        <v>0</v>
      </c>
      <c r="AA29" s="1">
        <v>1</v>
      </c>
      <c r="AB29" s="1">
        <v>1</v>
      </c>
      <c r="AC29" s="1">
        <v>0</v>
      </c>
      <c r="AD29" s="1">
        <v>1</v>
      </c>
      <c r="AE29" s="1">
        <v>1</v>
      </c>
      <c r="AF29" s="1">
        <v>1</v>
      </c>
      <c r="AG29" s="1">
        <v>1</v>
      </c>
      <c r="AH29" s="3">
        <v>0</v>
      </c>
      <c r="AI29" s="3">
        <v>0</v>
      </c>
      <c r="AJ29" s="3">
        <v>1</v>
      </c>
      <c r="AK29" s="3">
        <v>0</v>
      </c>
      <c r="AL29" s="1">
        <v>1</v>
      </c>
      <c r="AM29" s="1">
        <v>0</v>
      </c>
      <c r="AN29" s="1">
        <v>0</v>
      </c>
      <c r="AO29" s="1">
        <v>0</v>
      </c>
      <c r="AP29" s="1">
        <v>0</v>
      </c>
      <c r="AQ29" s="132">
        <v>0</v>
      </c>
      <c r="AR29">
        <v>0</v>
      </c>
      <c r="AS29" s="1">
        <v>0</v>
      </c>
      <c r="AT29" s="1">
        <v>0</v>
      </c>
      <c r="AU29">
        <v>0</v>
      </c>
      <c r="AV29" s="1">
        <v>0</v>
      </c>
      <c r="AW29" s="1">
        <v>140</v>
      </c>
      <c r="AX29" s="1">
        <v>70</v>
      </c>
      <c r="AY29" s="1">
        <v>70</v>
      </c>
      <c r="AZ29" s="1">
        <f t="shared" si="2"/>
        <v>93.333333333333329</v>
      </c>
      <c r="BA29" s="1">
        <v>120</v>
      </c>
      <c r="BB29" s="1">
        <v>80</v>
      </c>
      <c r="BC29" s="1">
        <v>70</v>
      </c>
      <c r="BD29" s="1">
        <v>1.3</v>
      </c>
      <c r="BE29" s="1">
        <f t="shared" si="3"/>
        <v>93.333333333333329</v>
      </c>
      <c r="BF29" s="37">
        <v>130</v>
      </c>
      <c r="BG29" s="1">
        <v>60</v>
      </c>
      <c r="BH29" s="1">
        <v>60</v>
      </c>
      <c r="BI29" s="1">
        <v>1.3</v>
      </c>
      <c r="BJ29" s="1">
        <f t="shared" si="4"/>
        <v>83.333333333333329</v>
      </c>
      <c r="BK29" s="1">
        <v>125</v>
      </c>
      <c r="BL29" s="1">
        <v>70</v>
      </c>
      <c r="BM29" s="1">
        <v>60</v>
      </c>
      <c r="BN29" s="1">
        <v>1.3</v>
      </c>
      <c r="BO29" s="1">
        <f t="shared" si="6"/>
        <v>88.333333333333329</v>
      </c>
      <c r="BP29" s="37">
        <v>130</v>
      </c>
      <c r="BQ29" s="1">
        <v>55</v>
      </c>
      <c r="BR29" s="1">
        <v>65</v>
      </c>
      <c r="BS29" s="1">
        <v>1.3</v>
      </c>
      <c r="BT29" s="1">
        <f t="shared" si="5"/>
        <v>80</v>
      </c>
      <c r="BU29" s="1">
        <v>0</v>
      </c>
      <c r="BV29" s="1">
        <v>18</v>
      </c>
      <c r="BW29" s="1">
        <v>0</v>
      </c>
      <c r="BX29" s="1">
        <v>0</v>
      </c>
      <c r="BY29" s="1">
        <v>0</v>
      </c>
      <c r="BZ29" s="1">
        <v>60</v>
      </c>
      <c r="CA29" s="1">
        <v>0</v>
      </c>
      <c r="CB29" s="1">
        <v>0</v>
      </c>
      <c r="CC29" s="1">
        <v>0</v>
      </c>
      <c r="CD29" s="1">
        <v>400</v>
      </c>
      <c r="CE29" s="1">
        <v>0</v>
      </c>
      <c r="CF29" s="37">
        <v>0</v>
      </c>
    </row>
    <row r="30" spans="1:84" customFormat="1" ht="15" customHeight="1">
      <c r="A30" s="1">
        <v>29</v>
      </c>
      <c r="B30" s="1">
        <v>0</v>
      </c>
      <c r="C30" s="1">
        <v>1</v>
      </c>
      <c r="D30" s="5">
        <v>66</v>
      </c>
      <c r="E30" s="5">
        <v>68</v>
      </c>
      <c r="F30" s="5">
        <v>167</v>
      </c>
      <c r="G30" s="101">
        <f t="shared" si="1"/>
        <v>24.382372978593711</v>
      </c>
      <c r="H30" s="5">
        <v>0</v>
      </c>
      <c r="I30" s="5">
        <v>4</v>
      </c>
      <c r="J30" s="138">
        <v>3.8</v>
      </c>
      <c r="K30" s="138">
        <v>0</v>
      </c>
      <c r="L30" s="138">
        <v>1</v>
      </c>
      <c r="M30" s="139" t="s">
        <v>261</v>
      </c>
      <c r="N30" s="1">
        <v>4</v>
      </c>
      <c r="O30" s="1">
        <v>2</v>
      </c>
      <c r="P30" s="1">
        <v>3</v>
      </c>
      <c r="Q30" s="1">
        <v>4</v>
      </c>
      <c r="R30" s="1">
        <v>1</v>
      </c>
      <c r="S30" s="1">
        <v>2</v>
      </c>
      <c r="T30" s="103">
        <v>2</v>
      </c>
      <c r="U30" s="103">
        <v>2</v>
      </c>
      <c r="V30" s="103">
        <v>0</v>
      </c>
      <c r="W30" s="6">
        <v>0</v>
      </c>
      <c r="X30" s="103"/>
      <c r="Y30" s="103">
        <v>1</v>
      </c>
      <c r="Z30" s="81">
        <v>0</v>
      </c>
      <c r="AA30" s="1">
        <v>1</v>
      </c>
      <c r="AB30" s="1">
        <v>1</v>
      </c>
      <c r="AC30" s="1">
        <v>1</v>
      </c>
      <c r="AD30" s="1">
        <v>1</v>
      </c>
      <c r="AE30" s="1">
        <v>1</v>
      </c>
      <c r="AF30" s="1">
        <v>1</v>
      </c>
      <c r="AG30" s="1">
        <v>1</v>
      </c>
      <c r="AH30" s="3">
        <v>0</v>
      </c>
      <c r="AI30" s="3">
        <v>0</v>
      </c>
      <c r="AJ30" s="3">
        <v>1</v>
      </c>
      <c r="AK30" s="3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32">
        <v>0</v>
      </c>
      <c r="AR30">
        <v>1</v>
      </c>
      <c r="AS30" s="1">
        <v>0</v>
      </c>
      <c r="AT30" s="1">
        <v>0</v>
      </c>
      <c r="AU30">
        <v>0</v>
      </c>
      <c r="AV30" s="1">
        <v>0</v>
      </c>
      <c r="AW30" s="1">
        <v>120</v>
      </c>
      <c r="AX30" s="1">
        <v>70</v>
      </c>
      <c r="AY30" s="1">
        <v>100</v>
      </c>
      <c r="AZ30" s="1">
        <f t="shared" si="2"/>
        <v>86.666666666666671</v>
      </c>
      <c r="BA30" s="1">
        <v>95</v>
      </c>
      <c r="BB30" s="1">
        <v>60</v>
      </c>
      <c r="BC30" s="1">
        <v>100</v>
      </c>
      <c r="BD30" s="1">
        <v>1.3</v>
      </c>
      <c r="BE30" s="1">
        <f t="shared" si="3"/>
        <v>71.666666666666671</v>
      </c>
      <c r="BF30" s="37">
        <v>90</v>
      </c>
      <c r="BG30" s="1">
        <v>55</v>
      </c>
      <c r="BH30" s="1">
        <v>95</v>
      </c>
      <c r="BI30" s="1">
        <v>1.3</v>
      </c>
      <c r="BJ30" s="1">
        <f t="shared" si="4"/>
        <v>66.666666666666671</v>
      </c>
      <c r="BK30" s="1">
        <v>85</v>
      </c>
      <c r="BL30" s="1">
        <v>55</v>
      </c>
      <c r="BM30" s="1">
        <v>95</v>
      </c>
      <c r="BN30" s="1">
        <v>1.3</v>
      </c>
      <c r="BO30" s="1">
        <f t="shared" si="6"/>
        <v>65</v>
      </c>
      <c r="BP30" s="37">
        <v>80</v>
      </c>
      <c r="BQ30" s="1">
        <v>55</v>
      </c>
      <c r="BR30" s="1">
        <v>95</v>
      </c>
      <c r="BS30" s="1">
        <v>1.3</v>
      </c>
      <c r="BT30" s="1">
        <f t="shared" si="5"/>
        <v>63.333333333333336</v>
      </c>
      <c r="BU30" s="1">
        <v>0</v>
      </c>
      <c r="BV30" s="1">
        <v>18</v>
      </c>
      <c r="BW30" s="1">
        <v>0</v>
      </c>
      <c r="BX30" s="1">
        <v>0</v>
      </c>
      <c r="BY30" s="1">
        <v>0</v>
      </c>
      <c r="BZ30" s="1">
        <v>140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37">
        <v>0</v>
      </c>
    </row>
    <row r="31" spans="1:84" customFormat="1" ht="15" customHeight="1">
      <c r="A31" s="1">
        <v>30</v>
      </c>
      <c r="B31" s="1">
        <v>0</v>
      </c>
      <c r="C31" s="1">
        <v>1</v>
      </c>
      <c r="D31" s="5">
        <v>88</v>
      </c>
      <c r="E31" s="5">
        <v>64</v>
      </c>
      <c r="F31" s="5">
        <v>180</v>
      </c>
      <c r="G31" s="101">
        <f t="shared" si="1"/>
        <v>19.753086419753085</v>
      </c>
      <c r="H31" s="5">
        <v>0</v>
      </c>
      <c r="I31" s="5">
        <v>4</v>
      </c>
      <c r="J31" s="138">
        <v>14</v>
      </c>
      <c r="K31" s="138">
        <v>1</v>
      </c>
      <c r="L31" s="138">
        <v>2</v>
      </c>
      <c r="M31" s="139" t="s">
        <v>261</v>
      </c>
      <c r="N31" s="1">
        <v>4</v>
      </c>
      <c r="O31" s="1">
        <v>2</v>
      </c>
      <c r="P31" s="1">
        <v>3</v>
      </c>
      <c r="Q31" s="1">
        <v>2</v>
      </c>
      <c r="R31" s="1">
        <v>1</v>
      </c>
      <c r="S31" s="1">
        <v>2</v>
      </c>
      <c r="T31" s="103">
        <v>3</v>
      </c>
      <c r="U31" s="103">
        <v>3</v>
      </c>
      <c r="V31" s="103">
        <v>0</v>
      </c>
      <c r="W31" s="6">
        <v>0</v>
      </c>
      <c r="X31" s="103"/>
      <c r="Y31" s="103">
        <v>0</v>
      </c>
      <c r="Z31" s="81">
        <v>0</v>
      </c>
      <c r="AA31" s="1">
        <v>1</v>
      </c>
      <c r="AB31" s="1">
        <v>1</v>
      </c>
      <c r="AC31" s="1">
        <v>2</v>
      </c>
      <c r="AD31" s="1">
        <v>0</v>
      </c>
      <c r="AE31" s="1"/>
      <c r="AF31" s="1">
        <v>1</v>
      </c>
      <c r="AG31" s="1">
        <v>1</v>
      </c>
      <c r="AH31" s="3">
        <v>0</v>
      </c>
      <c r="AI31" s="3">
        <v>1</v>
      </c>
      <c r="AJ31" s="3">
        <v>1</v>
      </c>
      <c r="AK31" s="3">
        <v>0</v>
      </c>
      <c r="AL31" s="1">
        <v>1</v>
      </c>
      <c r="AM31" s="1">
        <v>0</v>
      </c>
      <c r="AN31" s="1">
        <v>0</v>
      </c>
      <c r="AO31" s="1">
        <v>0</v>
      </c>
      <c r="AP31" s="1">
        <v>0</v>
      </c>
      <c r="AQ31" s="132">
        <v>0</v>
      </c>
      <c r="AR31">
        <v>1</v>
      </c>
      <c r="AS31" s="1">
        <v>0</v>
      </c>
      <c r="AT31" s="1">
        <v>0</v>
      </c>
      <c r="AU31">
        <v>0</v>
      </c>
      <c r="AV31" s="1">
        <v>0</v>
      </c>
      <c r="AW31" s="1">
        <v>180</v>
      </c>
      <c r="AX31" s="1">
        <v>70</v>
      </c>
      <c r="AY31" s="1">
        <v>90</v>
      </c>
      <c r="AZ31" s="1">
        <f t="shared" si="2"/>
        <v>106.66666666666667</v>
      </c>
      <c r="BA31" s="1">
        <v>145</v>
      </c>
      <c r="BB31" s="1">
        <v>55</v>
      </c>
      <c r="BC31" s="1">
        <v>60</v>
      </c>
      <c r="BD31" s="1">
        <v>1.3</v>
      </c>
      <c r="BE31" s="1">
        <f t="shared" si="3"/>
        <v>85</v>
      </c>
      <c r="BF31" s="37">
        <v>130</v>
      </c>
      <c r="BG31" s="1">
        <v>50</v>
      </c>
      <c r="BH31" s="1">
        <v>70</v>
      </c>
      <c r="BI31" s="1">
        <v>1.3</v>
      </c>
      <c r="BJ31" s="1">
        <f t="shared" si="4"/>
        <v>76.666666666666671</v>
      </c>
      <c r="BK31" s="1">
        <v>90</v>
      </c>
      <c r="BL31" s="1">
        <v>45</v>
      </c>
      <c r="BM31" s="1">
        <v>60</v>
      </c>
      <c r="BN31" s="1">
        <v>1.3</v>
      </c>
      <c r="BO31" s="1">
        <f t="shared" si="6"/>
        <v>60</v>
      </c>
      <c r="BP31" s="37">
        <v>90</v>
      </c>
      <c r="BQ31" s="1">
        <v>40</v>
      </c>
      <c r="BR31" s="1">
        <v>70</v>
      </c>
      <c r="BS31" s="1">
        <v>1.3</v>
      </c>
      <c r="BT31" s="1">
        <f t="shared" si="5"/>
        <v>56.666666666666664</v>
      </c>
      <c r="BU31" s="1">
        <v>0</v>
      </c>
      <c r="BV31" s="1">
        <v>18</v>
      </c>
      <c r="BW31" s="1">
        <v>0</v>
      </c>
      <c r="BX31" s="1">
        <v>0</v>
      </c>
      <c r="BY31" s="1">
        <v>0</v>
      </c>
      <c r="BZ31" s="1">
        <v>120</v>
      </c>
      <c r="CA31" s="1">
        <v>0</v>
      </c>
      <c r="CB31" s="1">
        <v>0</v>
      </c>
      <c r="CC31" s="1">
        <v>10</v>
      </c>
      <c r="CD31" s="1">
        <v>0</v>
      </c>
      <c r="CE31" s="1">
        <v>0</v>
      </c>
      <c r="CF31" s="37">
        <v>0</v>
      </c>
    </row>
    <row r="32" spans="1:84" customFormat="1" ht="14.25" customHeight="1">
      <c r="A32" s="1">
        <v>31</v>
      </c>
      <c r="B32" s="1">
        <v>0</v>
      </c>
      <c r="C32" s="1">
        <v>0</v>
      </c>
      <c r="D32" s="5">
        <v>76</v>
      </c>
      <c r="E32" s="5">
        <v>48</v>
      </c>
      <c r="F32" s="5">
        <v>150</v>
      </c>
      <c r="G32" s="101">
        <f t="shared" si="1"/>
        <v>21.333333333333332</v>
      </c>
      <c r="H32" s="5">
        <v>0</v>
      </c>
      <c r="I32" s="5">
        <v>4</v>
      </c>
      <c r="J32" s="138">
        <v>4.5999999999999996</v>
      </c>
      <c r="K32" s="138">
        <v>0</v>
      </c>
      <c r="L32" s="138">
        <v>1</v>
      </c>
      <c r="M32" s="139" t="s">
        <v>261</v>
      </c>
      <c r="N32" s="1">
        <v>4</v>
      </c>
      <c r="O32" s="1">
        <v>3</v>
      </c>
      <c r="P32" s="1">
        <v>3</v>
      </c>
      <c r="Q32" s="1">
        <v>1</v>
      </c>
      <c r="R32" s="1">
        <v>1</v>
      </c>
      <c r="S32" s="1">
        <v>0</v>
      </c>
      <c r="T32" s="103"/>
      <c r="U32" s="103">
        <v>2</v>
      </c>
      <c r="V32" s="103">
        <v>0</v>
      </c>
      <c r="W32" s="6">
        <v>0</v>
      </c>
      <c r="X32" s="103"/>
      <c r="Y32" s="103">
        <v>0</v>
      </c>
      <c r="Z32" s="81">
        <v>0</v>
      </c>
      <c r="AA32" s="1">
        <v>1</v>
      </c>
      <c r="AB32" s="1">
        <v>1</v>
      </c>
      <c r="AC32" s="1">
        <v>0</v>
      </c>
      <c r="AD32" s="1">
        <v>1</v>
      </c>
      <c r="AE32" s="1">
        <v>0</v>
      </c>
      <c r="AF32" s="1">
        <v>0</v>
      </c>
      <c r="AG32" s="1">
        <v>0</v>
      </c>
      <c r="AH32" s="3">
        <v>0</v>
      </c>
      <c r="AI32" s="3">
        <v>0</v>
      </c>
      <c r="AJ32" s="3">
        <v>1</v>
      </c>
      <c r="AK32" s="3">
        <v>1</v>
      </c>
      <c r="AL32" s="1">
        <v>0</v>
      </c>
      <c r="AM32" s="1"/>
      <c r="AN32" s="1">
        <v>0</v>
      </c>
      <c r="AO32" s="1">
        <v>0</v>
      </c>
      <c r="AP32" s="1">
        <v>0</v>
      </c>
      <c r="AQ32" s="132">
        <v>0</v>
      </c>
      <c r="AR32">
        <v>1</v>
      </c>
      <c r="AS32" s="1">
        <v>0</v>
      </c>
      <c r="AT32" s="1">
        <v>0</v>
      </c>
      <c r="AU32">
        <v>0</v>
      </c>
      <c r="AV32" s="1">
        <v>0</v>
      </c>
      <c r="AW32" s="1">
        <v>190</v>
      </c>
      <c r="AX32" s="1">
        <v>90</v>
      </c>
      <c r="AY32" s="1">
        <v>80</v>
      </c>
      <c r="AZ32" s="1">
        <f t="shared" si="2"/>
        <v>123.33333333333333</v>
      </c>
      <c r="BA32" s="1">
        <v>150</v>
      </c>
      <c r="BB32" s="1">
        <v>82</v>
      </c>
      <c r="BC32" s="1">
        <v>70</v>
      </c>
      <c r="BD32" s="1">
        <v>1.3</v>
      </c>
      <c r="BE32" s="1">
        <f t="shared" si="3"/>
        <v>104.66666666666667</v>
      </c>
      <c r="BF32" s="37">
        <v>120</v>
      </c>
      <c r="BG32" s="1">
        <v>60</v>
      </c>
      <c r="BH32" s="1">
        <v>60</v>
      </c>
      <c r="BI32" s="1">
        <v>1.3</v>
      </c>
      <c r="BJ32" s="1">
        <f t="shared" si="4"/>
        <v>80</v>
      </c>
      <c r="BK32" s="1">
        <v>115</v>
      </c>
      <c r="BL32" s="1">
        <v>60</v>
      </c>
      <c r="BM32" s="1">
        <v>60</v>
      </c>
      <c r="BN32" s="1">
        <v>1.3</v>
      </c>
      <c r="BO32" s="1">
        <f t="shared" si="6"/>
        <v>78.333333333333329</v>
      </c>
      <c r="BP32" s="37">
        <v>120</v>
      </c>
      <c r="BQ32" s="1">
        <v>60</v>
      </c>
      <c r="BR32" s="1">
        <v>60</v>
      </c>
      <c r="BS32" s="1">
        <v>1.3</v>
      </c>
      <c r="BT32" s="1">
        <f t="shared" si="5"/>
        <v>80</v>
      </c>
      <c r="BU32" s="1">
        <v>0</v>
      </c>
      <c r="BV32" s="1">
        <v>14</v>
      </c>
      <c r="BW32" s="1">
        <v>0</v>
      </c>
      <c r="BX32" s="1">
        <v>0</v>
      </c>
      <c r="BY32" s="1">
        <v>0</v>
      </c>
      <c r="BZ32" s="1">
        <v>50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37">
        <v>0</v>
      </c>
    </row>
    <row r="33" spans="1:84" customFormat="1" ht="14.25" customHeight="1">
      <c r="A33" s="1">
        <v>32</v>
      </c>
      <c r="B33" s="1">
        <v>0</v>
      </c>
      <c r="C33" s="1">
        <v>1</v>
      </c>
      <c r="D33" s="5">
        <v>67</v>
      </c>
      <c r="E33" s="5">
        <v>73</v>
      </c>
      <c r="F33" s="5">
        <v>178</v>
      </c>
      <c r="G33" s="101">
        <f t="shared" si="1"/>
        <v>23.040020199469762</v>
      </c>
      <c r="H33" s="5">
        <v>0</v>
      </c>
      <c r="I33" s="5">
        <v>4</v>
      </c>
      <c r="J33" s="138">
        <v>3.8</v>
      </c>
      <c r="K33" s="138">
        <v>0</v>
      </c>
      <c r="L33" s="138">
        <v>1</v>
      </c>
      <c r="M33" s="139" t="s">
        <v>261</v>
      </c>
      <c r="N33" s="1">
        <v>4</v>
      </c>
      <c r="O33" s="1">
        <v>3</v>
      </c>
      <c r="P33" s="1">
        <v>3</v>
      </c>
      <c r="Q33" s="1">
        <v>4</v>
      </c>
      <c r="R33" s="1">
        <v>1</v>
      </c>
      <c r="S33" s="1">
        <v>2</v>
      </c>
      <c r="T33" s="103">
        <v>3</v>
      </c>
      <c r="U33" s="103">
        <v>0</v>
      </c>
      <c r="V33" s="103">
        <v>4</v>
      </c>
      <c r="W33" s="6">
        <v>0</v>
      </c>
      <c r="X33" s="103"/>
      <c r="Y33" s="103">
        <v>0</v>
      </c>
      <c r="Z33" s="81">
        <v>0</v>
      </c>
      <c r="AA33" s="1">
        <v>0</v>
      </c>
      <c r="AB33" s="1">
        <v>1</v>
      </c>
      <c r="AC33" s="1">
        <v>1</v>
      </c>
      <c r="AD33" s="1">
        <v>1</v>
      </c>
      <c r="AE33" s="1">
        <v>1</v>
      </c>
      <c r="AF33" s="1">
        <v>1</v>
      </c>
      <c r="AG33" s="1">
        <v>0</v>
      </c>
      <c r="AH33" s="3">
        <v>0</v>
      </c>
      <c r="AI33" s="3">
        <v>0</v>
      </c>
      <c r="AJ33" s="3">
        <v>1</v>
      </c>
      <c r="AK33" s="3">
        <v>0</v>
      </c>
      <c r="AL33" s="1">
        <v>0</v>
      </c>
      <c r="AM33" s="1">
        <v>1</v>
      </c>
      <c r="AN33" s="1">
        <v>0</v>
      </c>
      <c r="AO33" s="1">
        <v>0</v>
      </c>
      <c r="AP33" s="1">
        <v>0</v>
      </c>
      <c r="AQ33" s="132">
        <v>0</v>
      </c>
      <c r="AR33">
        <v>0</v>
      </c>
      <c r="AS33" s="1">
        <v>0</v>
      </c>
      <c r="AT33" s="1">
        <v>0</v>
      </c>
      <c r="AU33">
        <v>0</v>
      </c>
      <c r="AV33" s="1">
        <v>0</v>
      </c>
      <c r="AW33" s="1">
        <v>125</v>
      </c>
      <c r="AX33" s="1">
        <v>70</v>
      </c>
      <c r="AY33" s="1">
        <v>90</v>
      </c>
      <c r="AZ33" s="1">
        <f t="shared" si="2"/>
        <v>88.333333333333329</v>
      </c>
      <c r="BA33" s="1">
        <v>100</v>
      </c>
      <c r="BB33" s="1">
        <v>60</v>
      </c>
      <c r="BC33" s="1">
        <v>100</v>
      </c>
      <c r="BD33" s="1">
        <v>1.2</v>
      </c>
      <c r="BE33" s="1">
        <f t="shared" si="3"/>
        <v>73.333333333333329</v>
      </c>
      <c r="BF33" s="37">
        <v>80</v>
      </c>
      <c r="BG33" s="1">
        <v>50</v>
      </c>
      <c r="BH33" s="1">
        <v>100</v>
      </c>
      <c r="BI33" s="1">
        <v>1.2</v>
      </c>
      <c r="BJ33" s="1">
        <f t="shared" si="4"/>
        <v>60</v>
      </c>
      <c r="BK33" s="1">
        <v>90</v>
      </c>
      <c r="BL33" s="1">
        <v>60</v>
      </c>
      <c r="BM33" s="1">
        <v>100</v>
      </c>
      <c r="BN33" s="1">
        <v>1.2</v>
      </c>
      <c r="BO33" s="1">
        <f t="shared" si="6"/>
        <v>70</v>
      </c>
      <c r="BP33" s="37">
        <v>120</v>
      </c>
      <c r="BQ33" s="1">
        <v>60</v>
      </c>
      <c r="BR33" s="1">
        <v>100</v>
      </c>
      <c r="BS33" s="1">
        <v>1.2</v>
      </c>
      <c r="BT33" s="1">
        <f t="shared" si="5"/>
        <v>80</v>
      </c>
      <c r="BU33" s="1">
        <v>0</v>
      </c>
      <c r="BV33" s="1">
        <v>20</v>
      </c>
      <c r="BW33" s="1">
        <v>0</v>
      </c>
      <c r="BX33" s="1">
        <v>0</v>
      </c>
      <c r="BY33" s="1">
        <v>0</v>
      </c>
      <c r="BZ33" s="1">
        <v>140</v>
      </c>
      <c r="CA33" s="1">
        <v>0</v>
      </c>
      <c r="CB33" s="1">
        <v>0</v>
      </c>
      <c r="CC33" s="1">
        <v>10</v>
      </c>
      <c r="CD33" s="1">
        <v>0</v>
      </c>
      <c r="CE33" s="1">
        <v>50</v>
      </c>
      <c r="CF33" s="37">
        <v>0</v>
      </c>
    </row>
    <row r="34" spans="1:84" customFormat="1" ht="14.25" customHeight="1">
      <c r="A34" s="1">
        <v>33</v>
      </c>
      <c r="B34" s="1">
        <v>0</v>
      </c>
      <c r="C34" s="1">
        <v>0</v>
      </c>
      <c r="D34" s="5">
        <v>80</v>
      </c>
      <c r="E34" s="5">
        <v>100</v>
      </c>
      <c r="F34" s="5">
        <v>163</v>
      </c>
      <c r="G34" s="101">
        <f t="shared" si="1"/>
        <v>37.637848620572854</v>
      </c>
      <c r="H34" s="5">
        <v>1</v>
      </c>
      <c r="I34" s="5">
        <v>4</v>
      </c>
      <c r="J34" s="138">
        <v>4.9000000000000004</v>
      </c>
      <c r="K34" s="138">
        <v>0</v>
      </c>
      <c r="L34" s="138">
        <v>1</v>
      </c>
      <c r="M34" s="139" t="s">
        <v>261</v>
      </c>
      <c r="N34" s="1">
        <v>4</v>
      </c>
      <c r="O34" s="1">
        <v>2</v>
      </c>
      <c r="P34" s="1">
        <v>3</v>
      </c>
      <c r="Q34" s="1">
        <v>1</v>
      </c>
      <c r="R34" s="1">
        <v>1</v>
      </c>
      <c r="S34" s="1">
        <v>2</v>
      </c>
      <c r="T34" s="103">
        <v>2</v>
      </c>
      <c r="U34" s="103">
        <v>3</v>
      </c>
      <c r="V34" s="103">
        <v>0</v>
      </c>
      <c r="W34" s="6">
        <v>0</v>
      </c>
      <c r="X34" s="103"/>
      <c r="Y34" s="103">
        <v>0</v>
      </c>
      <c r="Z34" s="81">
        <v>0</v>
      </c>
      <c r="AA34" s="1">
        <v>0</v>
      </c>
      <c r="AB34" s="1">
        <v>0</v>
      </c>
      <c r="AC34" s="1">
        <v>0</v>
      </c>
      <c r="AD34" s="1">
        <v>1</v>
      </c>
      <c r="AE34" s="1">
        <v>0</v>
      </c>
      <c r="AF34" s="1">
        <v>1</v>
      </c>
      <c r="AG34" s="1">
        <v>1</v>
      </c>
      <c r="AH34" s="3">
        <v>0</v>
      </c>
      <c r="AI34" s="3">
        <v>0</v>
      </c>
      <c r="AJ34" s="3">
        <v>1</v>
      </c>
      <c r="AK34" s="3">
        <v>0</v>
      </c>
      <c r="AL34" s="1">
        <v>1</v>
      </c>
      <c r="AM34" s="1">
        <v>0</v>
      </c>
      <c r="AN34" s="1">
        <v>0</v>
      </c>
      <c r="AO34" s="1">
        <v>0</v>
      </c>
      <c r="AP34" s="1">
        <v>0</v>
      </c>
      <c r="AQ34" s="132">
        <v>0</v>
      </c>
      <c r="AR34">
        <v>0</v>
      </c>
      <c r="AS34" s="1">
        <v>0</v>
      </c>
      <c r="AT34" s="1">
        <v>0</v>
      </c>
      <c r="AU34">
        <v>0</v>
      </c>
      <c r="AV34" s="1">
        <v>0</v>
      </c>
      <c r="AW34" s="1">
        <v>180</v>
      </c>
      <c r="AX34" s="1">
        <v>80</v>
      </c>
      <c r="AY34" s="1">
        <v>80</v>
      </c>
      <c r="AZ34" s="1">
        <f t="shared" si="2"/>
        <v>113.33333333333333</v>
      </c>
      <c r="BA34" s="1">
        <v>140</v>
      </c>
      <c r="BB34" s="1">
        <v>60</v>
      </c>
      <c r="BC34" s="1">
        <v>60</v>
      </c>
      <c r="BD34" s="1">
        <v>1.2</v>
      </c>
      <c r="BE34" s="1">
        <f t="shared" si="3"/>
        <v>86.666666666666671</v>
      </c>
      <c r="BF34" s="37">
        <v>125</v>
      </c>
      <c r="BG34" s="1">
        <v>60</v>
      </c>
      <c r="BH34" s="1">
        <v>65</v>
      </c>
      <c r="BI34" s="1">
        <v>1.2</v>
      </c>
      <c r="BJ34" s="1">
        <f t="shared" si="4"/>
        <v>81.666666666666671</v>
      </c>
      <c r="BK34" s="1">
        <v>120</v>
      </c>
      <c r="BL34" s="1">
        <v>50</v>
      </c>
      <c r="BM34" s="1">
        <v>60</v>
      </c>
      <c r="BN34" s="1">
        <v>1.2</v>
      </c>
      <c r="BO34" s="1">
        <f t="shared" si="6"/>
        <v>73.333333333333329</v>
      </c>
      <c r="BP34" s="37">
        <v>100</v>
      </c>
      <c r="BQ34" s="1">
        <v>40</v>
      </c>
      <c r="BR34" s="1">
        <v>60</v>
      </c>
      <c r="BS34" s="1">
        <v>1.2</v>
      </c>
      <c r="BT34" s="1">
        <f t="shared" si="5"/>
        <v>60</v>
      </c>
      <c r="BU34" s="1">
        <v>0</v>
      </c>
      <c r="BV34" s="1">
        <v>20</v>
      </c>
      <c r="BW34" s="1">
        <v>0</v>
      </c>
      <c r="BX34" s="1">
        <v>0</v>
      </c>
      <c r="BY34" s="1">
        <v>0</v>
      </c>
      <c r="BZ34" s="1">
        <v>180</v>
      </c>
      <c r="CA34" s="1">
        <v>0</v>
      </c>
      <c r="CB34" s="1">
        <v>0</v>
      </c>
      <c r="CC34" s="1">
        <v>10</v>
      </c>
      <c r="CD34" s="1">
        <v>0</v>
      </c>
      <c r="CE34" s="1">
        <v>20</v>
      </c>
      <c r="CF34" s="37">
        <v>0</v>
      </c>
    </row>
    <row r="35" spans="1:84" customFormat="1" ht="15" customHeight="1">
      <c r="A35" s="1">
        <v>34</v>
      </c>
      <c r="B35" s="1">
        <v>0</v>
      </c>
      <c r="C35" s="1">
        <v>1</v>
      </c>
      <c r="D35" s="5">
        <v>88</v>
      </c>
      <c r="E35" s="5">
        <v>72</v>
      </c>
      <c r="F35" s="5">
        <v>175</v>
      </c>
      <c r="G35" s="101">
        <f t="shared" ref="G35:G58" si="7">E35/(F35/100)^2</f>
        <v>23.510204081632654</v>
      </c>
      <c r="H35" s="5">
        <v>0</v>
      </c>
      <c r="I35" s="5">
        <v>4</v>
      </c>
      <c r="J35" s="138">
        <v>5.7</v>
      </c>
      <c r="K35" s="138">
        <v>0</v>
      </c>
      <c r="L35" s="138">
        <v>1</v>
      </c>
      <c r="M35" s="139" t="s">
        <v>261</v>
      </c>
      <c r="N35" s="1">
        <v>4</v>
      </c>
      <c r="O35" s="1">
        <v>2</v>
      </c>
      <c r="P35" s="1">
        <v>3</v>
      </c>
      <c r="Q35" s="1">
        <v>1</v>
      </c>
      <c r="R35" s="1">
        <v>1</v>
      </c>
      <c r="S35" s="1">
        <v>0</v>
      </c>
      <c r="T35" s="103"/>
      <c r="U35" s="103">
        <v>2</v>
      </c>
      <c r="V35" s="103">
        <v>0</v>
      </c>
      <c r="W35" s="6">
        <v>0</v>
      </c>
      <c r="X35" s="103"/>
      <c r="Y35" s="103">
        <v>0</v>
      </c>
      <c r="Z35" s="81">
        <v>0</v>
      </c>
      <c r="AA35" s="1">
        <v>0</v>
      </c>
      <c r="AB35" s="1">
        <v>1</v>
      </c>
      <c r="AC35" s="1">
        <v>0</v>
      </c>
      <c r="AD35" s="1">
        <v>1</v>
      </c>
      <c r="AE35" s="1">
        <v>0</v>
      </c>
      <c r="AF35" s="1">
        <v>0</v>
      </c>
      <c r="AG35" s="1">
        <v>0</v>
      </c>
      <c r="AH35" s="3">
        <v>1</v>
      </c>
      <c r="AI35" s="3">
        <v>0</v>
      </c>
      <c r="AJ35" s="3">
        <v>1</v>
      </c>
      <c r="AK35" s="3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32">
        <v>0</v>
      </c>
      <c r="AR35">
        <v>1</v>
      </c>
      <c r="AS35" s="1">
        <v>0</v>
      </c>
      <c r="AT35" s="1">
        <v>0</v>
      </c>
      <c r="AU35">
        <v>0</v>
      </c>
      <c r="AV35" s="1">
        <v>0</v>
      </c>
      <c r="AW35" s="1">
        <v>160</v>
      </c>
      <c r="AX35" s="1">
        <v>70</v>
      </c>
      <c r="AY35" s="1">
        <v>65</v>
      </c>
      <c r="AZ35" s="1">
        <f t="shared" si="2"/>
        <v>100</v>
      </c>
      <c r="BA35" s="1">
        <v>150</v>
      </c>
      <c r="BB35" s="1">
        <v>90</v>
      </c>
      <c r="BC35" s="1">
        <v>70</v>
      </c>
      <c r="BD35" s="1">
        <v>1.3</v>
      </c>
      <c r="BE35" s="1">
        <f t="shared" si="3"/>
        <v>110</v>
      </c>
      <c r="BF35" s="37">
        <v>170</v>
      </c>
      <c r="BG35" s="1">
        <v>80</v>
      </c>
      <c r="BH35" s="1">
        <v>80</v>
      </c>
      <c r="BI35" s="1">
        <v>1.3</v>
      </c>
      <c r="BJ35" s="1">
        <f t="shared" si="4"/>
        <v>110</v>
      </c>
      <c r="BK35" s="1">
        <v>170</v>
      </c>
      <c r="BL35" s="1">
        <v>75</v>
      </c>
      <c r="BM35" s="1">
        <v>85</v>
      </c>
      <c r="BN35" s="1">
        <v>1.3</v>
      </c>
      <c r="BO35" s="1">
        <f t="shared" si="6"/>
        <v>106.66666666666667</v>
      </c>
      <c r="BP35" s="37">
        <v>140</v>
      </c>
      <c r="BQ35" s="1">
        <v>60</v>
      </c>
      <c r="BR35" s="1">
        <v>60</v>
      </c>
      <c r="BS35" s="1">
        <v>1.3</v>
      </c>
      <c r="BT35" s="1">
        <f t="shared" si="5"/>
        <v>86.666666666666671</v>
      </c>
      <c r="BU35" s="1">
        <v>0</v>
      </c>
      <c r="BV35" s="1">
        <v>20</v>
      </c>
      <c r="BW35" s="1">
        <v>0</v>
      </c>
      <c r="BX35" s="1">
        <v>0</v>
      </c>
      <c r="BY35" s="1">
        <v>0</v>
      </c>
      <c r="BZ35" s="1">
        <v>140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37">
        <v>0</v>
      </c>
    </row>
    <row r="36" spans="1:84" customFormat="1" ht="15" customHeight="1">
      <c r="A36" s="1">
        <v>35</v>
      </c>
      <c r="B36" s="1">
        <v>0</v>
      </c>
      <c r="C36" s="1">
        <v>0</v>
      </c>
      <c r="D36" s="5">
        <v>49</v>
      </c>
      <c r="E36" s="5">
        <v>58</v>
      </c>
      <c r="F36" s="5">
        <v>175</v>
      </c>
      <c r="G36" s="101">
        <f t="shared" si="7"/>
        <v>18.938775510204081</v>
      </c>
      <c r="H36" s="5">
        <v>0</v>
      </c>
      <c r="I36" s="5">
        <v>4</v>
      </c>
      <c r="J36" s="138">
        <v>1.4</v>
      </c>
      <c r="K36" s="138">
        <v>0</v>
      </c>
      <c r="L36" s="138">
        <v>0</v>
      </c>
      <c r="M36" s="139" t="s">
        <v>261</v>
      </c>
      <c r="N36" s="1">
        <v>4</v>
      </c>
      <c r="O36" s="1">
        <v>1</v>
      </c>
      <c r="P36" s="1">
        <v>3</v>
      </c>
      <c r="Q36" s="1">
        <v>3</v>
      </c>
      <c r="R36" s="1">
        <v>1</v>
      </c>
      <c r="S36" s="1">
        <v>0</v>
      </c>
      <c r="T36" s="103"/>
      <c r="U36" s="103">
        <v>3</v>
      </c>
      <c r="V36" s="103">
        <v>0</v>
      </c>
      <c r="W36" s="6">
        <v>0</v>
      </c>
      <c r="X36" s="103"/>
      <c r="Y36" s="103">
        <v>0</v>
      </c>
      <c r="Z36" s="81">
        <v>0</v>
      </c>
      <c r="AA36" s="1">
        <v>0</v>
      </c>
      <c r="AB36" s="1">
        <v>0</v>
      </c>
      <c r="AC36" s="1">
        <v>0</v>
      </c>
      <c r="AD36" s="1">
        <v>1</v>
      </c>
      <c r="AE36" s="1">
        <v>0</v>
      </c>
      <c r="AF36" s="1">
        <v>1</v>
      </c>
      <c r="AG36" s="1">
        <v>1</v>
      </c>
      <c r="AH36" s="3">
        <v>0</v>
      </c>
      <c r="AI36" s="3">
        <v>0</v>
      </c>
      <c r="AJ36" s="3">
        <v>1</v>
      </c>
      <c r="AK36" s="3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32">
        <v>0</v>
      </c>
      <c r="AR36">
        <v>0</v>
      </c>
      <c r="AS36" s="1">
        <v>0</v>
      </c>
      <c r="AT36" s="1">
        <v>0</v>
      </c>
      <c r="AU36">
        <v>0</v>
      </c>
      <c r="AV36" s="1">
        <v>0</v>
      </c>
      <c r="AW36" s="1">
        <v>95</v>
      </c>
      <c r="AX36" s="1">
        <v>60</v>
      </c>
      <c r="AY36" s="1">
        <v>70</v>
      </c>
      <c r="AZ36" s="1">
        <f t="shared" si="2"/>
        <v>71.666666666666671</v>
      </c>
      <c r="BA36" s="1">
        <v>120</v>
      </c>
      <c r="BB36" s="1">
        <v>80</v>
      </c>
      <c r="BC36" s="1">
        <v>70</v>
      </c>
      <c r="BD36" s="1">
        <v>0.6</v>
      </c>
      <c r="BE36" s="1">
        <f t="shared" si="3"/>
        <v>93.333333333333329</v>
      </c>
      <c r="BF36" s="37">
        <v>80</v>
      </c>
      <c r="BG36" s="1">
        <v>50</v>
      </c>
      <c r="BH36" s="1">
        <v>70</v>
      </c>
      <c r="BI36" s="1">
        <v>0.8</v>
      </c>
      <c r="BJ36" s="1">
        <f t="shared" si="4"/>
        <v>60</v>
      </c>
      <c r="BK36" s="1">
        <v>105</v>
      </c>
      <c r="BL36" s="1">
        <v>75</v>
      </c>
      <c r="BM36" s="1">
        <v>70</v>
      </c>
      <c r="BN36" s="1">
        <v>1.2</v>
      </c>
      <c r="BO36" s="1">
        <f t="shared" si="6"/>
        <v>85</v>
      </c>
      <c r="BP36" s="37">
        <v>100</v>
      </c>
      <c r="BQ36" s="1">
        <v>75</v>
      </c>
      <c r="BR36" s="1">
        <v>70</v>
      </c>
      <c r="BS36" s="1">
        <v>1.2</v>
      </c>
      <c r="BT36" s="1">
        <f t="shared" si="5"/>
        <v>83.333333333333329</v>
      </c>
      <c r="BU36" s="1">
        <v>0</v>
      </c>
      <c r="BV36" s="1">
        <v>16</v>
      </c>
      <c r="BW36" s="1">
        <v>0</v>
      </c>
      <c r="BX36" s="1">
        <v>0</v>
      </c>
      <c r="BY36" s="1">
        <v>0</v>
      </c>
      <c r="BZ36" s="1">
        <v>120</v>
      </c>
      <c r="CA36" s="1">
        <v>0</v>
      </c>
      <c r="CB36" s="1">
        <v>0</v>
      </c>
      <c r="CC36" s="1">
        <v>0</v>
      </c>
      <c r="CD36" s="1">
        <v>0</v>
      </c>
      <c r="CE36" s="1">
        <v>30</v>
      </c>
      <c r="CF36" s="37">
        <v>0</v>
      </c>
    </row>
    <row r="37" spans="1:84" customFormat="1" ht="14.25" customHeight="1">
      <c r="A37" s="1">
        <v>36</v>
      </c>
      <c r="B37" s="1">
        <v>0</v>
      </c>
      <c r="C37" s="1">
        <v>0</v>
      </c>
      <c r="D37" s="5">
        <v>79</v>
      </c>
      <c r="E37" s="5">
        <v>79</v>
      </c>
      <c r="F37" s="5">
        <v>159</v>
      </c>
      <c r="G37" s="101">
        <f t="shared" si="7"/>
        <v>31.24876389383331</v>
      </c>
      <c r="H37" s="5">
        <v>1</v>
      </c>
      <c r="I37" s="5">
        <v>4</v>
      </c>
      <c r="J37" s="138">
        <v>4.8</v>
      </c>
      <c r="K37" s="138">
        <v>0</v>
      </c>
      <c r="L37" s="138">
        <v>1</v>
      </c>
      <c r="M37" s="139" t="s">
        <v>261</v>
      </c>
      <c r="N37" s="1">
        <v>4</v>
      </c>
      <c r="O37" s="1">
        <v>2</v>
      </c>
      <c r="P37" s="1">
        <v>3</v>
      </c>
      <c r="Q37" s="1">
        <v>1</v>
      </c>
      <c r="R37" s="1">
        <v>1</v>
      </c>
      <c r="S37" s="1">
        <v>2</v>
      </c>
      <c r="T37" s="103">
        <v>1</v>
      </c>
      <c r="U37" s="103">
        <v>3</v>
      </c>
      <c r="V37" s="103">
        <v>0</v>
      </c>
      <c r="W37" s="6">
        <v>0</v>
      </c>
      <c r="X37" s="103"/>
      <c r="Y37" s="103">
        <v>0</v>
      </c>
      <c r="Z37" s="81">
        <v>1</v>
      </c>
      <c r="AA37" s="1">
        <v>0</v>
      </c>
      <c r="AB37" s="1">
        <v>1</v>
      </c>
      <c r="AC37" s="1">
        <v>2</v>
      </c>
      <c r="AD37" s="1">
        <v>1</v>
      </c>
      <c r="AE37" s="1">
        <v>0</v>
      </c>
      <c r="AF37" s="1">
        <v>1</v>
      </c>
      <c r="AG37" s="1">
        <v>1</v>
      </c>
      <c r="AH37" s="3">
        <v>0</v>
      </c>
      <c r="AI37" s="3">
        <v>0</v>
      </c>
      <c r="AJ37" s="3">
        <v>1</v>
      </c>
      <c r="AK37" s="3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32">
        <v>0</v>
      </c>
      <c r="AR37">
        <v>1</v>
      </c>
      <c r="AS37" s="1">
        <v>0</v>
      </c>
      <c r="AT37" s="1">
        <v>0</v>
      </c>
      <c r="AU37">
        <v>0</v>
      </c>
      <c r="AV37" s="1">
        <v>0</v>
      </c>
      <c r="AW37" s="1">
        <v>125</v>
      </c>
      <c r="AX37" s="1">
        <v>65</v>
      </c>
      <c r="AY37" s="1">
        <v>70</v>
      </c>
      <c r="AZ37" s="1">
        <f t="shared" si="2"/>
        <v>85</v>
      </c>
      <c r="BA37" s="1">
        <v>180</v>
      </c>
      <c r="BB37" s="1">
        <v>100</v>
      </c>
      <c r="BC37" s="1">
        <v>90</v>
      </c>
      <c r="BD37" s="1">
        <v>0.9</v>
      </c>
      <c r="BE37" s="1">
        <f t="shared" si="3"/>
        <v>126.66666666666667</v>
      </c>
      <c r="BF37" s="37">
        <v>130</v>
      </c>
      <c r="BG37" s="1">
        <v>60</v>
      </c>
      <c r="BH37" s="1">
        <v>70</v>
      </c>
      <c r="BI37" s="1">
        <v>1.1000000000000001</v>
      </c>
      <c r="BJ37" s="1">
        <f t="shared" si="4"/>
        <v>83.333333333333329</v>
      </c>
      <c r="BK37" s="1">
        <v>110</v>
      </c>
      <c r="BL37" s="1">
        <v>65</v>
      </c>
      <c r="BM37" s="1">
        <v>65</v>
      </c>
      <c r="BN37" s="1">
        <v>1.1000000000000001</v>
      </c>
      <c r="BO37" s="1">
        <f t="shared" si="6"/>
        <v>80</v>
      </c>
      <c r="BP37" s="37">
        <v>115</v>
      </c>
      <c r="BQ37" s="1">
        <v>60</v>
      </c>
      <c r="BR37" s="1">
        <v>65</v>
      </c>
      <c r="BS37" s="1">
        <v>1.1000000000000001</v>
      </c>
      <c r="BT37" s="1">
        <f t="shared" si="5"/>
        <v>78.333333333333329</v>
      </c>
      <c r="BU37" s="1">
        <v>0</v>
      </c>
      <c r="BV37" s="1">
        <v>18</v>
      </c>
      <c r="BW37" s="1">
        <v>0</v>
      </c>
      <c r="BX37" s="1">
        <v>0</v>
      </c>
      <c r="BY37" s="1">
        <v>0</v>
      </c>
      <c r="BZ37" s="1">
        <v>160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37">
        <v>0</v>
      </c>
    </row>
    <row r="38" spans="1:84" ht="15" customHeight="1">
      <c r="A38" s="1">
        <v>37</v>
      </c>
      <c r="B38" s="1">
        <v>0</v>
      </c>
      <c r="C38" s="1">
        <v>0</v>
      </c>
      <c r="D38" s="5">
        <v>92</v>
      </c>
      <c r="E38" s="5">
        <v>53</v>
      </c>
      <c r="F38" s="5">
        <v>156</v>
      </c>
      <c r="G38" s="101">
        <f t="shared" si="7"/>
        <v>21.7784352399737</v>
      </c>
      <c r="H38" s="5">
        <v>0</v>
      </c>
      <c r="I38" s="5">
        <v>4</v>
      </c>
      <c r="J38" s="138">
        <v>6.2</v>
      </c>
      <c r="K38" s="138">
        <v>0</v>
      </c>
      <c r="L38" s="138">
        <v>1</v>
      </c>
      <c r="M38" s="139" t="s">
        <v>261</v>
      </c>
      <c r="N38" s="1">
        <v>4</v>
      </c>
      <c r="O38" s="1">
        <v>2</v>
      </c>
      <c r="P38" s="1">
        <v>3</v>
      </c>
      <c r="Q38" s="1">
        <v>1</v>
      </c>
      <c r="R38" s="1">
        <v>1</v>
      </c>
      <c r="S38" s="1">
        <v>0</v>
      </c>
      <c r="U38" s="103">
        <v>2</v>
      </c>
      <c r="V38" s="103">
        <v>0</v>
      </c>
      <c r="W38" s="6">
        <v>0</v>
      </c>
      <c r="Y38" s="103">
        <v>0</v>
      </c>
      <c r="Z38" s="81">
        <v>0</v>
      </c>
      <c r="AA38" s="1">
        <v>1</v>
      </c>
      <c r="AB38" s="1">
        <v>1</v>
      </c>
      <c r="AC38" s="1">
        <v>0</v>
      </c>
      <c r="AD38" s="1">
        <v>1</v>
      </c>
      <c r="AE38" s="1">
        <v>0</v>
      </c>
      <c r="AF38" s="1">
        <v>0</v>
      </c>
      <c r="AG38" s="1">
        <v>1</v>
      </c>
      <c r="AH38" s="3">
        <v>0</v>
      </c>
      <c r="AI38" s="3">
        <v>0</v>
      </c>
      <c r="AJ38" s="3">
        <v>1</v>
      </c>
      <c r="AK38" s="3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32">
        <v>0</v>
      </c>
      <c r="AR38">
        <v>1</v>
      </c>
      <c r="AS38" s="1">
        <v>0</v>
      </c>
      <c r="AT38" s="1">
        <v>0</v>
      </c>
      <c r="AU38">
        <v>0</v>
      </c>
      <c r="AV38" s="1">
        <v>0</v>
      </c>
      <c r="AW38" s="1">
        <v>145</v>
      </c>
      <c r="AX38" s="1">
        <v>75</v>
      </c>
      <c r="AY38" s="1">
        <v>100</v>
      </c>
      <c r="AZ38" s="1">
        <f t="shared" si="2"/>
        <v>98.333333333333329</v>
      </c>
      <c r="BA38" s="1">
        <v>160</v>
      </c>
      <c r="BB38" s="1">
        <v>80</v>
      </c>
      <c r="BC38" s="1">
        <v>100</v>
      </c>
      <c r="BD38" s="1">
        <v>1</v>
      </c>
      <c r="BE38" s="1">
        <f t="shared" si="3"/>
        <v>106.66666666666667</v>
      </c>
      <c r="BF38" s="37">
        <v>120</v>
      </c>
      <c r="BG38" s="1">
        <v>60</v>
      </c>
      <c r="BH38" s="1">
        <v>90</v>
      </c>
      <c r="BI38" s="1">
        <v>1</v>
      </c>
      <c r="BJ38" s="1">
        <f t="shared" si="4"/>
        <v>80</v>
      </c>
      <c r="BK38" s="1">
        <v>120</v>
      </c>
      <c r="BL38" s="1">
        <v>60</v>
      </c>
      <c r="BM38" s="1">
        <v>90</v>
      </c>
      <c r="BN38" s="1">
        <v>1</v>
      </c>
      <c r="BO38" s="1">
        <f t="shared" si="6"/>
        <v>80</v>
      </c>
      <c r="BP38" s="37">
        <v>100</v>
      </c>
      <c r="BQ38" s="1">
        <v>45</v>
      </c>
      <c r="BR38" s="1">
        <v>90</v>
      </c>
      <c r="BS38" s="1">
        <v>1</v>
      </c>
      <c r="BT38" s="1">
        <f t="shared" si="5"/>
        <v>63.333333333333336</v>
      </c>
      <c r="BU38" s="1">
        <v>0</v>
      </c>
      <c r="BV38" s="1">
        <v>16</v>
      </c>
      <c r="BW38" s="1">
        <v>0</v>
      </c>
      <c r="BX38" s="1">
        <v>0</v>
      </c>
      <c r="BY38" s="1">
        <v>0</v>
      </c>
      <c r="BZ38" s="1">
        <v>100</v>
      </c>
      <c r="CA38" s="1">
        <v>0</v>
      </c>
      <c r="CB38" s="1">
        <v>0</v>
      </c>
      <c r="CC38" s="1">
        <v>3</v>
      </c>
      <c r="CD38" s="1">
        <v>0</v>
      </c>
      <c r="CE38" s="1">
        <v>0</v>
      </c>
      <c r="CF38" s="37">
        <v>0</v>
      </c>
    </row>
    <row r="39" spans="1:84" ht="14.25" customHeight="1">
      <c r="A39" s="1">
        <v>38</v>
      </c>
      <c r="B39" s="1">
        <v>0</v>
      </c>
      <c r="C39" s="1">
        <v>0</v>
      </c>
      <c r="D39" s="5">
        <v>86</v>
      </c>
      <c r="E39" s="5">
        <v>57</v>
      </c>
      <c r="F39" s="5">
        <v>158</v>
      </c>
      <c r="G39" s="101">
        <f t="shared" si="7"/>
        <v>22.832879346258608</v>
      </c>
      <c r="H39" s="5">
        <v>0</v>
      </c>
      <c r="I39" s="5">
        <v>4</v>
      </c>
      <c r="J39" s="138">
        <v>5.5</v>
      </c>
      <c r="K39" s="138">
        <v>0</v>
      </c>
      <c r="L39" s="138">
        <v>1</v>
      </c>
      <c r="M39" s="139" t="s">
        <v>261</v>
      </c>
      <c r="N39" s="1">
        <v>4</v>
      </c>
      <c r="O39" s="1">
        <v>2</v>
      </c>
      <c r="P39" s="1">
        <v>3</v>
      </c>
      <c r="Q39" s="1">
        <v>1</v>
      </c>
      <c r="R39" s="1">
        <v>1</v>
      </c>
      <c r="S39" s="1">
        <v>0</v>
      </c>
      <c r="U39" s="103">
        <v>2</v>
      </c>
      <c r="V39" s="103">
        <v>2</v>
      </c>
      <c r="W39" s="6">
        <v>0</v>
      </c>
      <c r="Y39" s="103">
        <v>0</v>
      </c>
      <c r="Z39" s="81">
        <v>0</v>
      </c>
      <c r="AA39" s="1">
        <v>0</v>
      </c>
      <c r="AB39" s="1">
        <v>0</v>
      </c>
      <c r="AC39" s="1">
        <v>0</v>
      </c>
      <c r="AD39" s="1">
        <v>1</v>
      </c>
      <c r="AE39" s="1">
        <v>0</v>
      </c>
      <c r="AF39" s="1">
        <v>1</v>
      </c>
      <c r="AG39" s="1">
        <v>1</v>
      </c>
      <c r="AH39" s="3">
        <v>0</v>
      </c>
      <c r="AI39" s="3">
        <v>0</v>
      </c>
      <c r="AJ39" s="3">
        <v>1</v>
      </c>
      <c r="AK39" s="3">
        <v>0</v>
      </c>
      <c r="AL39" s="1">
        <v>0</v>
      </c>
      <c r="AM39" s="1">
        <v>1</v>
      </c>
      <c r="AN39" s="1">
        <v>0</v>
      </c>
      <c r="AO39" s="1">
        <v>0</v>
      </c>
      <c r="AP39" s="1">
        <v>0</v>
      </c>
      <c r="AQ39" s="132">
        <v>0</v>
      </c>
      <c r="AR39">
        <v>1</v>
      </c>
      <c r="AS39" s="1">
        <v>0</v>
      </c>
      <c r="AT39" s="1">
        <v>0</v>
      </c>
      <c r="AU39">
        <v>0</v>
      </c>
      <c r="AV39" s="1">
        <v>0</v>
      </c>
      <c r="AW39" s="1">
        <v>160</v>
      </c>
      <c r="AX39" s="1">
        <v>80</v>
      </c>
      <c r="AY39" s="1">
        <v>70</v>
      </c>
      <c r="AZ39" s="1">
        <f t="shared" si="2"/>
        <v>106.66666666666667</v>
      </c>
      <c r="BA39" s="1">
        <v>160</v>
      </c>
      <c r="BB39" s="1">
        <v>80</v>
      </c>
      <c r="BC39" s="1">
        <v>70</v>
      </c>
      <c r="BD39" s="1">
        <v>1</v>
      </c>
      <c r="BE39" s="1">
        <f t="shared" si="3"/>
        <v>106.66666666666667</v>
      </c>
      <c r="BF39" s="37">
        <v>90</v>
      </c>
      <c r="BG39" s="1">
        <v>50</v>
      </c>
      <c r="BH39" s="1">
        <v>50</v>
      </c>
      <c r="BI39" s="1">
        <v>1</v>
      </c>
      <c r="BJ39" s="1">
        <f t="shared" si="4"/>
        <v>63.333333333333336</v>
      </c>
      <c r="BK39" s="1">
        <v>90</v>
      </c>
      <c r="BL39" s="1">
        <v>40</v>
      </c>
      <c r="BM39" s="1">
        <v>50</v>
      </c>
      <c r="BN39" s="1">
        <v>1</v>
      </c>
      <c r="BO39" s="1">
        <f t="shared" si="6"/>
        <v>56.666666666666664</v>
      </c>
      <c r="BP39" s="37">
        <v>90</v>
      </c>
      <c r="BQ39" s="1">
        <v>40</v>
      </c>
      <c r="BR39" s="1">
        <v>50</v>
      </c>
      <c r="BS39" s="1">
        <v>1</v>
      </c>
      <c r="BT39" s="1">
        <f t="shared" si="5"/>
        <v>56.666666666666664</v>
      </c>
      <c r="BU39" s="1">
        <v>0</v>
      </c>
      <c r="BV39" s="1">
        <v>18</v>
      </c>
      <c r="BW39" s="1">
        <v>0</v>
      </c>
      <c r="BX39" s="1">
        <v>0</v>
      </c>
      <c r="BY39" s="1">
        <v>0</v>
      </c>
      <c r="BZ39" s="1">
        <v>120</v>
      </c>
      <c r="CA39" s="1">
        <v>0</v>
      </c>
      <c r="CB39" s="1">
        <v>0</v>
      </c>
      <c r="CC39" s="1">
        <v>8</v>
      </c>
      <c r="CD39" s="1">
        <v>0</v>
      </c>
      <c r="CE39" s="1">
        <v>0</v>
      </c>
      <c r="CF39" s="37">
        <v>0</v>
      </c>
    </row>
    <row r="40" spans="1:84" ht="14.25" customHeight="1">
      <c r="A40" s="1">
        <v>39</v>
      </c>
      <c r="B40" s="1">
        <v>0</v>
      </c>
      <c r="C40" s="1">
        <v>1</v>
      </c>
      <c r="D40" s="5">
        <v>62</v>
      </c>
      <c r="E40" s="5">
        <v>76</v>
      </c>
      <c r="F40" s="5">
        <v>173</v>
      </c>
      <c r="G40" s="101">
        <f t="shared" si="7"/>
        <v>25.393431120318084</v>
      </c>
      <c r="H40" s="5">
        <v>1</v>
      </c>
      <c r="I40" s="5">
        <v>4</v>
      </c>
      <c r="J40" s="138">
        <v>3.5</v>
      </c>
      <c r="K40" s="138">
        <v>0</v>
      </c>
      <c r="L40" s="138">
        <v>1</v>
      </c>
      <c r="M40" s="139" t="s">
        <v>261</v>
      </c>
      <c r="N40" s="1">
        <v>4</v>
      </c>
      <c r="O40" s="1">
        <v>1</v>
      </c>
      <c r="P40" s="1">
        <v>3</v>
      </c>
      <c r="Q40" s="1">
        <v>4</v>
      </c>
      <c r="R40" s="1">
        <v>1</v>
      </c>
      <c r="S40" s="1">
        <v>0</v>
      </c>
      <c r="U40" s="103">
        <v>0</v>
      </c>
      <c r="V40" s="103">
        <v>0</v>
      </c>
      <c r="W40" s="6">
        <v>0</v>
      </c>
      <c r="Y40" s="103">
        <v>1</v>
      </c>
      <c r="Z40" s="81">
        <v>0</v>
      </c>
      <c r="AA40" s="1">
        <v>0</v>
      </c>
      <c r="AB40" s="1">
        <v>1</v>
      </c>
      <c r="AC40" s="1">
        <v>0</v>
      </c>
      <c r="AD40" s="1">
        <v>1</v>
      </c>
      <c r="AE40" s="1">
        <v>0</v>
      </c>
      <c r="AF40" s="1">
        <v>0</v>
      </c>
      <c r="AG40" s="1">
        <v>1</v>
      </c>
      <c r="AH40" s="3">
        <v>0</v>
      </c>
      <c r="AI40" s="3">
        <v>0</v>
      </c>
      <c r="AJ40" s="3">
        <v>0</v>
      </c>
      <c r="AK40" s="3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32">
        <v>0</v>
      </c>
      <c r="AR40">
        <v>0</v>
      </c>
      <c r="AS40" s="1">
        <v>0</v>
      </c>
      <c r="AT40" s="1">
        <v>0</v>
      </c>
      <c r="AU40">
        <v>0</v>
      </c>
      <c r="AV40" s="1">
        <v>0</v>
      </c>
      <c r="AW40" s="1">
        <v>120</v>
      </c>
      <c r="AX40" s="1">
        <v>80</v>
      </c>
      <c r="AY40" s="1">
        <v>60</v>
      </c>
      <c r="AZ40" s="1">
        <f t="shared" si="2"/>
        <v>93.333333333333329</v>
      </c>
      <c r="BA40" s="1">
        <v>110</v>
      </c>
      <c r="BB40" s="1">
        <v>70</v>
      </c>
      <c r="BC40" s="1">
        <v>50</v>
      </c>
      <c r="BD40" s="1">
        <v>1</v>
      </c>
      <c r="BE40" s="1">
        <f t="shared" si="3"/>
        <v>83.333333333333329</v>
      </c>
      <c r="BF40" s="37">
        <v>100</v>
      </c>
      <c r="BG40" s="1">
        <v>60</v>
      </c>
      <c r="BH40" s="1">
        <v>50</v>
      </c>
      <c r="BI40" s="1">
        <v>1</v>
      </c>
      <c r="BJ40" s="1">
        <f t="shared" si="4"/>
        <v>73.333333333333329</v>
      </c>
      <c r="BK40" s="1">
        <v>115</v>
      </c>
      <c r="BL40" s="1">
        <v>70</v>
      </c>
      <c r="BM40" s="1">
        <v>50</v>
      </c>
      <c r="BN40" s="1">
        <v>1</v>
      </c>
      <c r="BO40" s="1">
        <f t="shared" si="6"/>
        <v>85</v>
      </c>
      <c r="BP40" s="37">
        <v>100</v>
      </c>
      <c r="BQ40" s="1">
        <v>60</v>
      </c>
      <c r="BR40" s="1">
        <v>50</v>
      </c>
      <c r="BS40" s="1">
        <v>1</v>
      </c>
      <c r="BT40" s="1">
        <f t="shared" si="5"/>
        <v>73.333333333333329</v>
      </c>
      <c r="BU40" s="1">
        <v>0</v>
      </c>
      <c r="BV40" s="1">
        <v>20</v>
      </c>
      <c r="BW40" s="1">
        <v>0</v>
      </c>
      <c r="BX40" s="1">
        <v>0</v>
      </c>
      <c r="BY40" s="1">
        <v>0</v>
      </c>
      <c r="BZ40" s="1">
        <v>140</v>
      </c>
      <c r="CA40" s="1">
        <v>0</v>
      </c>
      <c r="CB40" s="1">
        <v>0</v>
      </c>
      <c r="CC40" s="1">
        <v>33</v>
      </c>
      <c r="CD40" s="1">
        <v>0</v>
      </c>
      <c r="CE40" s="1">
        <v>0</v>
      </c>
      <c r="CF40" s="37">
        <v>0</v>
      </c>
    </row>
    <row r="41" spans="1:84" ht="14.25" customHeight="1">
      <c r="A41" s="1">
        <v>40</v>
      </c>
      <c r="B41" s="1">
        <v>0</v>
      </c>
      <c r="C41" s="1">
        <v>0</v>
      </c>
      <c r="D41" s="5">
        <v>77</v>
      </c>
      <c r="E41" s="5">
        <v>60</v>
      </c>
      <c r="F41" s="5">
        <v>170</v>
      </c>
      <c r="G41" s="101">
        <f t="shared" si="7"/>
        <v>20.761245674740486</v>
      </c>
      <c r="H41" s="5">
        <v>0</v>
      </c>
      <c r="I41" s="5">
        <v>4</v>
      </c>
      <c r="J41" s="138">
        <v>3.5</v>
      </c>
      <c r="K41" s="138">
        <v>0</v>
      </c>
      <c r="L41" s="138">
        <v>1</v>
      </c>
      <c r="M41" s="139" t="s">
        <v>261</v>
      </c>
      <c r="N41" s="1">
        <v>4</v>
      </c>
      <c r="O41" s="1">
        <v>2</v>
      </c>
      <c r="P41" s="1">
        <v>4</v>
      </c>
      <c r="Q41" s="1">
        <v>2</v>
      </c>
      <c r="R41" s="1">
        <v>1</v>
      </c>
      <c r="S41" s="1">
        <v>0</v>
      </c>
      <c r="U41" s="103">
        <v>2</v>
      </c>
      <c r="V41" s="103">
        <v>1</v>
      </c>
      <c r="W41" s="6">
        <v>0</v>
      </c>
      <c r="Y41" s="103">
        <v>1</v>
      </c>
      <c r="Z41" s="81">
        <v>0</v>
      </c>
      <c r="AA41" s="1">
        <v>1</v>
      </c>
      <c r="AB41" s="1">
        <v>1</v>
      </c>
      <c r="AC41" s="1">
        <v>0</v>
      </c>
      <c r="AD41" s="1">
        <v>1</v>
      </c>
      <c r="AE41" s="1">
        <v>0</v>
      </c>
      <c r="AF41" s="1">
        <v>1</v>
      </c>
      <c r="AG41" s="1">
        <v>0</v>
      </c>
      <c r="AH41" s="3">
        <v>1</v>
      </c>
      <c r="AI41" s="3">
        <v>1</v>
      </c>
      <c r="AJ41" s="3">
        <v>0</v>
      </c>
      <c r="AK41" s="3">
        <v>0</v>
      </c>
      <c r="AL41" s="1">
        <v>1</v>
      </c>
      <c r="AM41" s="1">
        <v>1</v>
      </c>
      <c r="AN41" s="1">
        <v>0</v>
      </c>
      <c r="AO41" s="1">
        <v>0</v>
      </c>
      <c r="AP41" s="1">
        <v>0</v>
      </c>
      <c r="AQ41" s="132">
        <v>0</v>
      </c>
      <c r="AR41">
        <v>0</v>
      </c>
      <c r="AS41" s="1">
        <v>0</v>
      </c>
      <c r="AT41" s="1">
        <v>1</v>
      </c>
      <c r="AU41">
        <v>0</v>
      </c>
      <c r="AV41" s="1">
        <v>1</v>
      </c>
      <c r="AW41" s="1">
        <v>150</v>
      </c>
      <c r="AX41" s="1">
        <v>70</v>
      </c>
      <c r="AY41" s="1">
        <v>70</v>
      </c>
      <c r="AZ41" s="1">
        <f t="shared" si="2"/>
        <v>96.666666666666671</v>
      </c>
      <c r="BA41" s="1">
        <v>80</v>
      </c>
      <c r="BB41" s="1">
        <v>40</v>
      </c>
      <c r="BC41" s="1">
        <v>70</v>
      </c>
      <c r="BD41" s="1">
        <v>1</v>
      </c>
      <c r="BE41" s="1">
        <f t="shared" si="3"/>
        <v>53.333333333333336</v>
      </c>
      <c r="BF41" s="37">
        <v>140</v>
      </c>
      <c r="BG41" s="1">
        <v>70</v>
      </c>
      <c r="BH41" s="1">
        <v>70</v>
      </c>
      <c r="BI41" s="1">
        <v>1</v>
      </c>
      <c r="BJ41" s="1">
        <f t="shared" si="4"/>
        <v>93.333333333333329</v>
      </c>
      <c r="BK41" s="1">
        <v>90</v>
      </c>
      <c r="BL41" s="1">
        <v>45</v>
      </c>
      <c r="BM41" s="1">
        <v>80</v>
      </c>
      <c r="BN41" s="1">
        <v>1</v>
      </c>
      <c r="BO41" s="1">
        <f t="shared" si="6"/>
        <v>60</v>
      </c>
      <c r="BP41" s="37">
        <v>100</v>
      </c>
      <c r="BQ41" s="1">
        <v>55</v>
      </c>
      <c r="BR41" s="1">
        <v>60</v>
      </c>
      <c r="BS41" s="1">
        <v>1</v>
      </c>
      <c r="BT41" s="1">
        <f t="shared" si="5"/>
        <v>70</v>
      </c>
      <c r="BU41" s="1">
        <v>0</v>
      </c>
      <c r="BV41" s="1">
        <v>18</v>
      </c>
      <c r="BW41" s="1">
        <v>0</v>
      </c>
      <c r="BX41" s="1">
        <v>0</v>
      </c>
      <c r="BY41" s="1">
        <v>0</v>
      </c>
      <c r="BZ41" s="1">
        <v>120</v>
      </c>
      <c r="CA41" s="1">
        <v>0</v>
      </c>
      <c r="CB41" s="1">
        <v>0</v>
      </c>
      <c r="CC41" s="1">
        <v>9</v>
      </c>
      <c r="CD41" s="1">
        <v>0</v>
      </c>
      <c r="CE41" s="1">
        <v>0</v>
      </c>
      <c r="CF41" s="37">
        <v>0</v>
      </c>
    </row>
    <row r="42" spans="1:84" ht="15" customHeight="1">
      <c r="A42" s="1">
        <v>41</v>
      </c>
      <c r="B42" s="1">
        <v>0</v>
      </c>
      <c r="C42" s="1">
        <v>1</v>
      </c>
      <c r="D42" s="5">
        <v>89</v>
      </c>
      <c r="E42" s="5">
        <v>94.5</v>
      </c>
      <c r="F42" s="5">
        <v>185</v>
      </c>
      <c r="G42" s="101">
        <f t="shared" si="7"/>
        <v>27.611395178962745</v>
      </c>
      <c r="H42" s="5">
        <v>1</v>
      </c>
      <c r="I42" s="5">
        <v>4</v>
      </c>
      <c r="J42" s="138">
        <v>5.8</v>
      </c>
      <c r="K42" s="138">
        <v>0</v>
      </c>
      <c r="L42" s="138">
        <v>1</v>
      </c>
      <c r="M42" s="139" t="s">
        <v>261</v>
      </c>
      <c r="N42" s="1">
        <v>4</v>
      </c>
      <c r="O42" s="1">
        <v>2</v>
      </c>
      <c r="P42" s="1">
        <v>3</v>
      </c>
      <c r="Q42" s="1">
        <v>1</v>
      </c>
      <c r="R42" s="1">
        <v>1</v>
      </c>
      <c r="S42" s="1">
        <v>0</v>
      </c>
      <c r="U42" s="103">
        <v>3</v>
      </c>
      <c r="V42" s="103">
        <v>0</v>
      </c>
      <c r="W42" s="6">
        <v>1</v>
      </c>
      <c r="X42" s="103">
        <v>2</v>
      </c>
      <c r="Y42" s="103">
        <v>0</v>
      </c>
      <c r="Z42" s="81">
        <v>0</v>
      </c>
      <c r="AA42" s="1">
        <v>0</v>
      </c>
      <c r="AB42" s="1">
        <v>0</v>
      </c>
      <c r="AC42" s="1">
        <v>0</v>
      </c>
      <c r="AD42" s="1">
        <v>1</v>
      </c>
      <c r="AE42" s="1">
        <v>0</v>
      </c>
      <c r="AF42" s="1">
        <v>1</v>
      </c>
      <c r="AG42" s="1">
        <v>0</v>
      </c>
      <c r="AH42" s="3">
        <v>1</v>
      </c>
      <c r="AI42" s="3">
        <v>0</v>
      </c>
      <c r="AJ42" s="3">
        <v>1</v>
      </c>
      <c r="AK42" s="3">
        <v>0</v>
      </c>
      <c r="AL42" s="1">
        <v>1</v>
      </c>
      <c r="AM42" s="1">
        <v>0</v>
      </c>
      <c r="AN42" s="1">
        <v>0</v>
      </c>
      <c r="AO42" s="1">
        <v>0</v>
      </c>
      <c r="AP42" s="1">
        <v>0</v>
      </c>
      <c r="AQ42" s="132">
        <v>0</v>
      </c>
      <c r="AR42">
        <v>0</v>
      </c>
      <c r="AS42" s="1">
        <v>0</v>
      </c>
      <c r="AT42" s="1">
        <v>0</v>
      </c>
      <c r="AU42">
        <v>0</v>
      </c>
      <c r="AV42" s="1">
        <v>0</v>
      </c>
      <c r="AW42" s="1">
        <v>170</v>
      </c>
      <c r="AX42" s="1">
        <v>70</v>
      </c>
      <c r="AY42" s="1">
        <v>70</v>
      </c>
      <c r="AZ42" s="1">
        <f t="shared" si="2"/>
        <v>103.33333333333333</v>
      </c>
      <c r="BA42" s="1">
        <v>110</v>
      </c>
      <c r="BB42" s="1">
        <v>50</v>
      </c>
      <c r="BC42" s="1">
        <v>65</v>
      </c>
      <c r="BD42" s="1">
        <v>1</v>
      </c>
      <c r="BE42" s="1">
        <f t="shared" si="3"/>
        <v>70</v>
      </c>
      <c r="BF42" s="37">
        <v>120</v>
      </c>
      <c r="BG42" s="1">
        <v>50</v>
      </c>
      <c r="BH42" s="1">
        <v>65</v>
      </c>
      <c r="BI42" s="1">
        <v>1</v>
      </c>
      <c r="BJ42" s="1">
        <f t="shared" si="4"/>
        <v>73.333333333333329</v>
      </c>
      <c r="BK42" s="1">
        <v>120</v>
      </c>
      <c r="BL42" s="1">
        <v>55</v>
      </c>
      <c r="BM42" s="1">
        <v>65</v>
      </c>
      <c r="BN42" s="1">
        <v>1</v>
      </c>
      <c r="BO42" s="1">
        <f t="shared" si="6"/>
        <v>76.666666666666671</v>
      </c>
      <c r="BP42" s="37">
        <v>100</v>
      </c>
      <c r="BQ42" s="1">
        <v>50</v>
      </c>
      <c r="BR42" s="1">
        <v>60</v>
      </c>
      <c r="BS42" s="1">
        <v>1</v>
      </c>
      <c r="BT42" s="1">
        <f t="shared" si="5"/>
        <v>66.666666666666671</v>
      </c>
      <c r="BU42" s="1">
        <v>0</v>
      </c>
      <c r="BV42" s="1">
        <v>20</v>
      </c>
      <c r="BW42" s="1">
        <v>0</v>
      </c>
      <c r="BX42" s="1">
        <v>0</v>
      </c>
      <c r="BY42" s="1">
        <v>0</v>
      </c>
      <c r="BZ42" s="1">
        <v>180</v>
      </c>
      <c r="CA42" s="1">
        <v>0</v>
      </c>
      <c r="CB42" s="1">
        <v>0</v>
      </c>
      <c r="CC42" s="1">
        <v>3</v>
      </c>
      <c r="CD42" s="1">
        <v>0</v>
      </c>
      <c r="CE42" s="1">
        <v>0</v>
      </c>
      <c r="CF42" s="37">
        <v>0</v>
      </c>
    </row>
    <row r="43" spans="1:84" ht="15" customHeight="1">
      <c r="A43" s="1">
        <v>42</v>
      </c>
      <c r="B43" s="1">
        <v>0</v>
      </c>
      <c r="C43" s="1">
        <v>0</v>
      </c>
      <c r="D43" s="5">
        <v>79</v>
      </c>
      <c r="E43" s="5">
        <v>76</v>
      </c>
      <c r="F43" s="5">
        <v>162</v>
      </c>
      <c r="G43" s="101">
        <f t="shared" si="7"/>
        <v>28.959000152415786</v>
      </c>
      <c r="H43" s="5">
        <v>1</v>
      </c>
      <c r="I43" s="5">
        <v>4</v>
      </c>
      <c r="J43" s="138">
        <v>4.5999999999999996</v>
      </c>
      <c r="K43" s="138">
        <v>0</v>
      </c>
      <c r="L43" s="138">
        <v>1</v>
      </c>
      <c r="M43" s="139" t="s">
        <v>261</v>
      </c>
      <c r="N43" s="1">
        <v>4</v>
      </c>
      <c r="O43" s="1">
        <v>2</v>
      </c>
      <c r="P43" s="1">
        <v>3</v>
      </c>
      <c r="Q43" s="1">
        <v>2</v>
      </c>
      <c r="R43" s="1">
        <v>1</v>
      </c>
      <c r="S43" s="1">
        <v>2</v>
      </c>
      <c r="T43" s="103">
        <v>2</v>
      </c>
      <c r="U43" s="103">
        <v>3</v>
      </c>
      <c r="V43" s="103">
        <v>0</v>
      </c>
      <c r="W43" s="6">
        <v>0</v>
      </c>
      <c r="Y43" s="103">
        <v>0</v>
      </c>
      <c r="Z43" s="81">
        <v>0</v>
      </c>
      <c r="AA43" s="1">
        <v>1</v>
      </c>
      <c r="AB43" s="1">
        <v>0</v>
      </c>
      <c r="AC43" s="1">
        <v>0</v>
      </c>
      <c r="AD43" s="1">
        <v>1</v>
      </c>
      <c r="AE43" s="1">
        <v>0</v>
      </c>
      <c r="AF43" s="1">
        <v>1</v>
      </c>
      <c r="AG43" s="1">
        <v>1</v>
      </c>
      <c r="AH43" s="3">
        <v>0</v>
      </c>
      <c r="AI43" s="3">
        <v>0</v>
      </c>
      <c r="AJ43" s="3">
        <v>1</v>
      </c>
      <c r="AK43" s="3">
        <v>0</v>
      </c>
      <c r="AL43" s="1">
        <v>1</v>
      </c>
      <c r="AM43" s="1">
        <v>0</v>
      </c>
      <c r="AN43" s="1">
        <v>0</v>
      </c>
      <c r="AO43" s="1">
        <v>0</v>
      </c>
      <c r="AP43" s="1">
        <v>0</v>
      </c>
      <c r="AQ43" s="132">
        <v>0</v>
      </c>
      <c r="AR43">
        <v>0</v>
      </c>
      <c r="AS43" s="1">
        <v>0</v>
      </c>
      <c r="AT43" s="1">
        <v>0</v>
      </c>
      <c r="AU43">
        <v>0</v>
      </c>
      <c r="AV43" s="1">
        <v>0</v>
      </c>
      <c r="AW43" s="1">
        <v>180</v>
      </c>
      <c r="AX43" s="1">
        <v>70</v>
      </c>
      <c r="AY43" s="1">
        <v>70</v>
      </c>
      <c r="AZ43" s="1">
        <f t="shared" si="2"/>
        <v>106.66666666666667</v>
      </c>
      <c r="BA43" s="1">
        <v>140</v>
      </c>
      <c r="BB43" s="1">
        <v>60</v>
      </c>
      <c r="BC43" s="1">
        <v>60</v>
      </c>
      <c r="BD43" s="1">
        <v>1</v>
      </c>
      <c r="BE43" s="1">
        <f t="shared" si="3"/>
        <v>86.666666666666671</v>
      </c>
      <c r="BF43" s="37">
        <v>100</v>
      </c>
      <c r="BG43" s="1">
        <v>40</v>
      </c>
      <c r="BH43" s="1">
        <v>65</v>
      </c>
      <c r="BI43" s="1">
        <v>1</v>
      </c>
      <c r="BJ43" s="1">
        <f t="shared" si="4"/>
        <v>60</v>
      </c>
      <c r="BK43" s="1">
        <v>100</v>
      </c>
      <c r="BL43" s="1">
        <v>40</v>
      </c>
      <c r="BM43" s="1">
        <v>60</v>
      </c>
      <c r="BN43" s="1">
        <v>1</v>
      </c>
      <c r="BO43" s="1">
        <f t="shared" si="6"/>
        <v>60</v>
      </c>
      <c r="BP43" s="37">
        <v>105</v>
      </c>
      <c r="BQ43" s="1">
        <v>50</v>
      </c>
      <c r="BR43" s="1">
        <v>60</v>
      </c>
      <c r="BS43" s="1">
        <v>1</v>
      </c>
      <c r="BT43" s="1">
        <f t="shared" si="5"/>
        <v>68.333333333333329</v>
      </c>
      <c r="BU43" s="1">
        <v>0</v>
      </c>
      <c r="BV43" s="1">
        <v>20</v>
      </c>
      <c r="BW43" s="1">
        <v>0</v>
      </c>
      <c r="BX43" s="1">
        <v>0</v>
      </c>
      <c r="BY43" s="1">
        <v>0</v>
      </c>
      <c r="BZ43" s="1">
        <v>140</v>
      </c>
      <c r="CA43" s="1">
        <v>0</v>
      </c>
      <c r="CB43" s="1">
        <v>0</v>
      </c>
      <c r="CC43" s="1">
        <v>7</v>
      </c>
      <c r="CD43" s="1">
        <v>0</v>
      </c>
      <c r="CE43" s="1">
        <v>0</v>
      </c>
      <c r="CF43" s="37">
        <v>0</v>
      </c>
    </row>
    <row r="44" spans="1:84" ht="14.25" customHeight="1">
      <c r="A44" s="1">
        <v>43</v>
      </c>
      <c r="B44" s="1">
        <v>1</v>
      </c>
      <c r="C44" s="1">
        <v>0</v>
      </c>
      <c r="D44" s="5">
        <v>83</v>
      </c>
      <c r="E44" s="5">
        <v>79.8</v>
      </c>
      <c r="F44" s="5">
        <v>172</v>
      </c>
      <c r="G44" s="101">
        <f t="shared" si="7"/>
        <v>26.974040021633318</v>
      </c>
      <c r="H44" s="5">
        <v>1</v>
      </c>
      <c r="I44" s="5">
        <v>4</v>
      </c>
      <c r="J44" s="138">
        <v>5.2</v>
      </c>
      <c r="K44" s="138">
        <v>0</v>
      </c>
      <c r="L44" s="138">
        <v>1</v>
      </c>
      <c r="M44" s="143" t="s">
        <v>261</v>
      </c>
      <c r="N44" s="1">
        <v>4</v>
      </c>
      <c r="O44" s="1">
        <v>2</v>
      </c>
      <c r="P44" s="1">
        <v>3</v>
      </c>
      <c r="Q44" s="1">
        <v>1</v>
      </c>
      <c r="R44" s="1">
        <v>1</v>
      </c>
      <c r="S44" s="1">
        <v>0</v>
      </c>
      <c r="U44" s="103">
        <v>3</v>
      </c>
      <c r="V44" s="103">
        <v>0</v>
      </c>
      <c r="W44" s="6">
        <v>0</v>
      </c>
      <c r="Y44" s="103">
        <v>0</v>
      </c>
      <c r="Z44" s="81">
        <v>0</v>
      </c>
      <c r="AA44" s="1">
        <v>1</v>
      </c>
      <c r="AB44" s="1">
        <v>1</v>
      </c>
      <c r="AC44" s="1">
        <v>0</v>
      </c>
      <c r="AD44" s="1">
        <v>1</v>
      </c>
      <c r="AE44" s="1">
        <v>0</v>
      </c>
      <c r="AF44" s="1">
        <v>0</v>
      </c>
      <c r="AG44" s="1">
        <v>1</v>
      </c>
      <c r="AH44" s="3">
        <v>0</v>
      </c>
      <c r="AI44" s="3">
        <v>1</v>
      </c>
      <c r="AJ44" s="3">
        <v>1</v>
      </c>
      <c r="AK44" s="3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32">
        <v>0</v>
      </c>
      <c r="AR44">
        <v>1</v>
      </c>
      <c r="AS44" s="1">
        <v>0</v>
      </c>
      <c r="AT44" s="1">
        <v>0</v>
      </c>
      <c r="AU44">
        <v>0</v>
      </c>
      <c r="AV44" s="1">
        <v>0</v>
      </c>
      <c r="AW44" s="1">
        <v>170</v>
      </c>
      <c r="AX44" s="1">
        <v>80</v>
      </c>
      <c r="AY44" s="1">
        <v>90</v>
      </c>
      <c r="AZ44" s="1">
        <f t="shared" si="2"/>
        <v>110</v>
      </c>
      <c r="BA44" s="1">
        <v>150</v>
      </c>
      <c r="BB44" s="1">
        <v>80</v>
      </c>
      <c r="BC44" s="1">
        <v>90</v>
      </c>
      <c r="BD44" s="1">
        <v>1.2</v>
      </c>
      <c r="BE44" s="1">
        <f t="shared" si="3"/>
        <v>103.33333333333333</v>
      </c>
      <c r="BF44" s="37">
        <v>125</v>
      </c>
      <c r="BG44" s="1">
        <v>60</v>
      </c>
      <c r="BH44" s="1">
        <v>75</v>
      </c>
      <c r="BI44" s="1">
        <v>1.2</v>
      </c>
      <c r="BJ44" s="1">
        <f t="shared" si="4"/>
        <v>81.666666666666671</v>
      </c>
      <c r="BK44" s="1">
        <v>115</v>
      </c>
      <c r="BL44" s="1">
        <v>55</v>
      </c>
      <c r="BM44" s="1">
        <v>70</v>
      </c>
      <c r="BN44" s="1">
        <v>1.2</v>
      </c>
      <c r="BO44" s="1">
        <f t="shared" si="6"/>
        <v>75</v>
      </c>
      <c r="BP44" s="37">
        <v>120</v>
      </c>
      <c r="BQ44" s="1">
        <v>50</v>
      </c>
      <c r="BR44" s="1">
        <v>70</v>
      </c>
      <c r="BS44" s="1">
        <v>1.2</v>
      </c>
      <c r="BT44" s="1">
        <f t="shared" si="5"/>
        <v>73.333333333333329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80</v>
      </c>
      <c r="CA44" s="1">
        <v>1.2</v>
      </c>
      <c r="CB44" s="1">
        <v>0</v>
      </c>
      <c r="CC44" s="1">
        <v>0</v>
      </c>
      <c r="CD44" s="1">
        <v>0</v>
      </c>
      <c r="CE44" s="1">
        <v>0</v>
      </c>
      <c r="CF44" s="37">
        <v>0</v>
      </c>
    </row>
    <row r="45" spans="1:84" ht="14.25" customHeight="1">
      <c r="A45" s="1">
        <v>44</v>
      </c>
      <c r="B45" s="1">
        <v>1</v>
      </c>
      <c r="C45" s="1">
        <v>0</v>
      </c>
      <c r="D45" s="5">
        <v>77</v>
      </c>
      <c r="E45" s="5">
        <v>81</v>
      </c>
      <c r="F45" s="5">
        <v>167</v>
      </c>
      <c r="G45" s="101">
        <f t="shared" si="7"/>
        <v>29.043708989207214</v>
      </c>
      <c r="H45" s="5">
        <v>1</v>
      </c>
      <c r="I45" s="5">
        <v>4</v>
      </c>
      <c r="J45" s="138">
        <v>6.6</v>
      </c>
      <c r="K45" s="138">
        <v>0</v>
      </c>
      <c r="L45" s="138">
        <v>2</v>
      </c>
      <c r="M45" s="143" t="s">
        <v>261</v>
      </c>
      <c r="N45" s="1">
        <v>4</v>
      </c>
      <c r="O45" s="1">
        <v>2</v>
      </c>
      <c r="P45" s="1">
        <v>3</v>
      </c>
      <c r="Q45" s="1">
        <v>4</v>
      </c>
      <c r="R45" s="1">
        <v>1</v>
      </c>
      <c r="S45" s="1">
        <v>0</v>
      </c>
      <c r="U45" s="103">
        <v>3</v>
      </c>
      <c r="V45" s="103">
        <v>2</v>
      </c>
      <c r="W45" s="6">
        <v>0</v>
      </c>
      <c r="Y45" s="103">
        <v>1</v>
      </c>
      <c r="Z45" s="81">
        <v>0</v>
      </c>
      <c r="AA45" s="1">
        <v>1</v>
      </c>
      <c r="AB45" s="1">
        <v>0</v>
      </c>
      <c r="AC45" s="1">
        <v>1</v>
      </c>
      <c r="AD45" s="1">
        <v>1</v>
      </c>
      <c r="AE45" s="1">
        <v>0</v>
      </c>
      <c r="AF45" s="1">
        <v>1</v>
      </c>
      <c r="AG45" s="1">
        <v>1</v>
      </c>
      <c r="AH45" s="3">
        <v>0</v>
      </c>
      <c r="AI45" s="3">
        <v>0</v>
      </c>
      <c r="AJ45" s="3">
        <v>1</v>
      </c>
      <c r="AK45" s="3">
        <v>0</v>
      </c>
      <c r="AL45" s="1">
        <v>1</v>
      </c>
      <c r="AM45" s="1">
        <v>0</v>
      </c>
      <c r="AN45" s="1">
        <v>0</v>
      </c>
      <c r="AO45" s="1">
        <v>0</v>
      </c>
      <c r="AP45" s="1">
        <v>0</v>
      </c>
      <c r="AQ45" s="132">
        <v>0</v>
      </c>
      <c r="AR45">
        <v>0</v>
      </c>
      <c r="AS45" s="1">
        <v>0</v>
      </c>
      <c r="AT45" s="1">
        <v>0</v>
      </c>
      <c r="AU45">
        <v>0</v>
      </c>
      <c r="AV45" s="1">
        <v>0</v>
      </c>
      <c r="AW45" s="1">
        <v>140</v>
      </c>
      <c r="AX45" s="1">
        <v>90</v>
      </c>
      <c r="AY45" s="1">
        <v>60</v>
      </c>
      <c r="AZ45" s="1">
        <f t="shared" si="2"/>
        <v>106.66666666666667</v>
      </c>
      <c r="BA45" s="1">
        <v>100</v>
      </c>
      <c r="BB45" s="1">
        <v>60</v>
      </c>
      <c r="BC45" s="1">
        <v>60</v>
      </c>
      <c r="BD45" s="1">
        <v>1</v>
      </c>
      <c r="BE45" s="1">
        <f t="shared" si="3"/>
        <v>73.333333333333329</v>
      </c>
      <c r="BF45" s="37">
        <v>100</v>
      </c>
      <c r="BG45" s="1">
        <v>60</v>
      </c>
      <c r="BH45" s="1">
        <v>60</v>
      </c>
      <c r="BI45" s="1">
        <v>1</v>
      </c>
      <c r="BJ45" s="1">
        <f t="shared" si="4"/>
        <v>73.333333333333329</v>
      </c>
      <c r="BK45" s="1">
        <v>90</v>
      </c>
      <c r="BL45" s="1">
        <v>50</v>
      </c>
      <c r="BM45" s="1">
        <v>60</v>
      </c>
      <c r="BN45" s="1">
        <v>1</v>
      </c>
      <c r="BO45" s="1">
        <f t="shared" si="6"/>
        <v>63.333333333333336</v>
      </c>
      <c r="BP45" s="37">
        <v>110</v>
      </c>
      <c r="BQ45" s="1">
        <v>60</v>
      </c>
      <c r="BR45" s="1">
        <v>60</v>
      </c>
      <c r="BS45" s="1">
        <v>1.2</v>
      </c>
      <c r="BT45" s="1">
        <f t="shared" si="5"/>
        <v>76.666666666666671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80</v>
      </c>
      <c r="CA45" s="1">
        <v>1</v>
      </c>
      <c r="CB45" s="1">
        <v>0</v>
      </c>
      <c r="CC45" s="1">
        <v>0</v>
      </c>
      <c r="CD45" s="1">
        <v>0</v>
      </c>
      <c r="CE45" s="1">
        <v>0</v>
      </c>
      <c r="CF45" s="37">
        <v>0</v>
      </c>
    </row>
    <row r="46" spans="1:84" ht="14.25" customHeight="1">
      <c r="A46" s="1">
        <v>45</v>
      </c>
      <c r="B46" s="1">
        <v>1</v>
      </c>
      <c r="C46" s="1">
        <v>0</v>
      </c>
      <c r="D46" s="5">
        <v>74</v>
      </c>
      <c r="E46" s="5">
        <v>80</v>
      </c>
      <c r="F46" s="5">
        <v>155</v>
      </c>
      <c r="G46" s="101">
        <f t="shared" si="7"/>
        <v>33.298647242455772</v>
      </c>
      <c r="H46" s="5">
        <v>1</v>
      </c>
      <c r="I46" s="5">
        <v>4</v>
      </c>
      <c r="J46" s="138">
        <v>4.4000000000000004</v>
      </c>
      <c r="K46" s="138">
        <v>0</v>
      </c>
      <c r="L46" s="138">
        <v>1</v>
      </c>
      <c r="M46" s="143" t="s">
        <v>261</v>
      </c>
      <c r="N46" s="1">
        <v>4</v>
      </c>
      <c r="O46" s="1">
        <v>3</v>
      </c>
      <c r="P46" s="1">
        <v>4</v>
      </c>
      <c r="Q46" s="1">
        <v>4</v>
      </c>
      <c r="R46" s="1">
        <v>1</v>
      </c>
      <c r="S46" s="1">
        <v>2</v>
      </c>
      <c r="T46" s="103">
        <v>1</v>
      </c>
      <c r="U46" s="103">
        <v>2</v>
      </c>
      <c r="V46" s="103">
        <v>0</v>
      </c>
      <c r="W46" s="6">
        <v>0</v>
      </c>
      <c r="Y46" s="103">
        <v>0</v>
      </c>
      <c r="Z46" s="81">
        <v>1</v>
      </c>
      <c r="AA46" s="1">
        <v>1</v>
      </c>
      <c r="AB46" s="1">
        <v>0</v>
      </c>
      <c r="AC46" s="1">
        <v>1</v>
      </c>
      <c r="AD46" s="1">
        <v>1</v>
      </c>
      <c r="AE46" s="1">
        <v>0</v>
      </c>
      <c r="AF46" s="1">
        <v>1</v>
      </c>
      <c r="AG46" s="1">
        <v>1</v>
      </c>
      <c r="AH46" s="3">
        <v>0</v>
      </c>
      <c r="AI46" s="3">
        <v>1</v>
      </c>
      <c r="AJ46" s="3">
        <v>1</v>
      </c>
      <c r="AK46" s="3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32">
        <v>0</v>
      </c>
      <c r="AR46">
        <v>1</v>
      </c>
      <c r="AS46" s="1">
        <v>0</v>
      </c>
      <c r="AT46" s="1">
        <v>0</v>
      </c>
      <c r="AU46">
        <v>0</v>
      </c>
      <c r="AV46" s="1">
        <v>0</v>
      </c>
      <c r="AW46" s="1">
        <v>130</v>
      </c>
      <c r="AX46" s="1">
        <v>70</v>
      </c>
      <c r="AY46" s="1">
        <v>65</v>
      </c>
      <c r="AZ46" s="1">
        <f t="shared" si="2"/>
        <v>90</v>
      </c>
      <c r="BA46" s="1">
        <v>120</v>
      </c>
      <c r="BB46" s="1">
        <v>60</v>
      </c>
      <c r="BC46" s="1">
        <v>60</v>
      </c>
      <c r="BD46" s="1">
        <v>1.2</v>
      </c>
      <c r="BE46" s="1">
        <f t="shared" si="3"/>
        <v>80</v>
      </c>
      <c r="BF46" s="37">
        <v>110</v>
      </c>
      <c r="BG46" s="1">
        <v>50</v>
      </c>
      <c r="BH46" s="1">
        <v>60</v>
      </c>
      <c r="BI46" s="1">
        <v>1.2</v>
      </c>
      <c r="BJ46" s="1">
        <f t="shared" si="4"/>
        <v>70</v>
      </c>
      <c r="BK46" s="1">
        <v>110</v>
      </c>
      <c r="BL46" s="1">
        <v>45</v>
      </c>
      <c r="BM46" s="1">
        <v>65</v>
      </c>
      <c r="BN46" s="1">
        <v>1.2</v>
      </c>
      <c r="BO46" s="1">
        <f t="shared" si="6"/>
        <v>66.666666666666671</v>
      </c>
      <c r="BP46" s="37">
        <v>140</v>
      </c>
      <c r="BQ46" s="1">
        <v>60</v>
      </c>
      <c r="BR46" s="1">
        <v>60</v>
      </c>
      <c r="BS46" s="1">
        <v>1.2</v>
      </c>
      <c r="BT46" s="1">
        <f t="shared" si="5"/>
        <v>86.666666666666671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160</v>
      </c>
      <c r="CA46" s="1">
        <v>1.2</v>
      </c>
      <c r="CB46" s="1">
        <v>0</v>
      </c>
      <c r="CC46" s="1">
        <v>0</v>
      </c>
      <c r="CD46" s="1">
        <v>0</v>
      </c>
      <c r="CE46" s="1">
        <v>0</v>
      </c>
      <c r="CF46" s="37">
        <v>0</v>
      </c>
    </row>
    <row r="47" spans="1:84" ht="14.25" customHeight="1">
      <c r="A47" s="1">
        <v>46</v>
      </c>
      <c r="B47" s="1">
        <v>0</v>
      </c>
      <c r="C47" s="1">
        <v>0</v>
      </c>
      <c r="D47" s="5">
        <v>82</v>
      </c>
      <c r="E47" s="5">
        <v>79</v>
      </c>
      <c r="F47" s="5">
        <v>171</v>
      </c>
      <c r="G47" s="101">
        <f t="shared" si="7"/>
        <v>27.016859888512709</v>
      </c>
      <c r="H47" s="5">
        <v>1</v>
      </c>
      <c r="I47" s="5">
        <v>4</v>
      </c>
      <c r="J47" s="138">
        <v>5.0999999999999996</v>
      </c>
      <c r="K47" s="138">
        <v>0</v>
      </c>
      <c r="L47" s="138">
        <v>1</v>
      </c>
      <c r="M47" s="143" t="s">
        <v>261</v>
      </c>
      <c r="N47" s="1">
        <v>4</v>
      </c>
      <c r="O47" s="1">
        <v>2</v>
      </c>
      <c r="P47" s="1">
        <v>3</v>
      </c>
      <c r="Q47" s="1">
        <v>1</v>
      </c>
      <c r="R47" s="1">
        <v>1</v>
      </c>
      <c r="S47" s="1">
        <v>0</v>
      </c>
      <c r="U47" s="103">
        <v>3</v>
      </c>
      <c r="V47" s="103">
        <v>0</v>
      </c>
      <c r="W47" s="6">
        <v>0</v>
      </c>
      <c r="Y47" s="103">
        <v>0</v>
      </c>
      <c r="Z47" s="81">
        <v>0</v>
      </c>
      <c r="AA47" s="1">
        <v>1</v>
      </c>
      <c r="AB47" s="1">
        <v>0</v>
      </c>
      <c r="AC47" s="1">
        <v>0</v>
      </c>
      <c r="AD47" s="1">
        <v>1</v>
      </c>
      <c r="AE47" s="1">
        <v>0</v>
      </c>
      <c r="AF47" s="1">
        <v>1</v>
      </c>
      <c r="AG47" s="1">
        <v>0</v>
      </c>
      <c r="AH47" s="3">
        <v>1</v>
      </c>
      <c r="AI47" s="3">
        <v>0</v>
      </c>
      <c r="AJ47" s="3">
        <v>1</v>
      </c>
      <c r="AK47" s="3">
        <v>0</v>
      </c>
      <c r="AL47" s="1">
        <v>1</v>
      </c>
      <c r="AM47" s="1">
        <v>0</v>
      </c>
      <c r="AN47" s="1">
        <v>0</v>
      </c>
      <c r="AO47" s="1">
        <v>0</v>
      </c>
      <c r="AP47" s="1">
        <v>0</v>
      </c>
      <c r="AQ47" s="132">
        <v>0</v>
      </c>
      <c r="AR47">
        <v>0</v>
      </c>
      <c r="AS47" s="1">
        <v>0</v>
      </c>
      <c r="AT47" s="1">
        <v>0</v>
      </c>
      <c r="AU47">
        <v>0</v>
      </c>
      <c r="AV47" s="1">
        <v>0</v>
      </c>
      <c r="AW47" s="1">
        <v>140</v>
      </c>
      <c r="AX47" s="1">
        <v>80</v>
      </c>
      <c r="AY47" s="1">
        <v>60</v>
      </c>
      <c r="AZ47" s="1">
        <f t="shared" si="2"/>
        <v>100</v>
      </c>
      <c r="BA47" s="1">
        <v>140</v>
      </c>
      <c r="BB47" s="1">
        <v>90</v>
      </c>
      <c r="BC47" s="1">
        <v>60</v>
      </c>
      <c r="BD47" s="1">
        <v>1.2</v>
      </c>
      <c r="BE47" s="1">
        <f t="shared" si="3"/>
        <v>106.66666666666667</v>
      </c>
      <c r="BF47" s="37">
        <v>110</v>
      </c>
      <c r="BG47" s="1">
        <v>60</v>
      </c>
      <c r="BH47" s="1">
        <v>60</v>
      </c>
      <c r="BI47" s="1">
        <v>1.2</v>
      </c>
      <c r="BJ47" s="1">
        <f t="shared" si="4"/>
        <v>76.666666666666671</v>
      </c>
      <c r="BK47" s="1">
        <v>110</v>
      </c>
      <c r="BL47" s="1">
        <v>60</v>
      </c>
      <c r="BM47" s="1">
        <v>60</v>
      </c>
      <c r="BN47" s="1">
        <v>1.2</v>
      </c>
      <c r="BO47" s="1">
        <f t="shared" si="6"/>
        <v>76.666666666666671</v>
      </c>
      <c r="BP47" s="37">
        <v>100</v>
      </c>
      <c r="BQ47" s="1">
        <v>50</v>
      </c>
      <c r="BR47" s="1">
        <v>60</v>
      </c>
      <c r="BS47" s="1">
        <v>1.2</v>
      </c>
      <c r="BT47" s="1">
        <f t="shared" si="5"/>
        <v>66.666666666666671</v>
      </c>
      <c r="BU47" s="1">
        <v>0</v>
      </c>
      <c r="BV47" s="1">
        <v>20</v>
      </c>
      <c r="BW47" s="1">
        <v>0</v>
      </c>
      <c r="BX47" s="1">
        <v>0</v>
      </c>
      <c r="BY47" s="1">
        <v>0</v>
      </c>
      <c r="BZ47" s="1">
        <v>160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37">
        <v>0</v>
      </c>
    </row>
    <row r="48" spans="1:84" ht="14.25" customHeight="1">
      <c r="A48" s="1">
        <v>47</v>
      </c>
      <c r="B48" s="1">
        <v>0</v>
      </c>
      <c r="C48" s="1">
        <v>1</v>
      </c>
      <c r="D48" s="5">
        <v>81</v>
      </c>
      <c r="E48" s="5">
        <v>74</v>
      </c>
      <c r="F48" s="5">
        <v>175</v>
      </c>
      <c r="G48" s="101">
        <f t="shared" si="7"/>
        <v>24.163265306122447</v>
      </c>
      <c r="H48" s="5">
        <v>0</v>
      </c>
      <c r="I48" s="5">
        <v>4</v>
      </c>
      <c r="J48" s="138">
        <v>5</v>
      </c>
      <c r="K48" s="138">
        <v>0</v>
      </c>
      <c r="L48" s="138">
        <v>1</v>
      </c>
      <c r="M48" s="133" t="s">
        <v>261</v>
      </c>
      <c r="N48" s="1">
        <v>4</v>
      </c>
      <c r="O48" s="1">
        <v>2</v>
      </c>
      <c r="P48" s="1">
        <v>3</v>
      </c>
      <c r="Q48" s="1">
        <v>3</v>
      </c>
      <c r="R48" s="1">
        <v>1</v>
      </c>
      <c r="S48" s="1">
        <v>2</v>
      </c>
      <c r="T48" s="103">
        <v>2</v>
      </c>
      <c r="U48" s="103">
        <v>3</v>
      </c>
      <c r="V48" s="103">
        <v>0</v>
      </c>
      <c r="W48" s="6">
        <v>0</v>
      </c>
      <c r="Y48" s="103">
        <v>0</v>
      </c>
      <c r="Z48" s="81">
        <v>0</v>
      </c>
      <c r="AA48" s="1">
        <v>1</v>
      </c>
      <c r="AB48" s="1">
        <v>0</v>
      </c>
      <c r="AC48" s="1">
        <v>2</v>
      </c>
      <c r="AD48" s="1">
        <v>1</v>
      </c>
      <c r="AE48" s="1">
        <v>0</v>
      </c>
      <c r="AF48" s="1">
        <v>1</v>
      </c>
      <c r="AG48" s="1">
        <v>1</v>
      </c>
      <c r="AH48" s="3">
        <v>0</v>
      </c>
      <c r="AI48" s="3">
        <v>0</v>
      </c>
      <c r="AJ48" s="3">
        <v>1</v>
      </c>
      <c r="AK48" s="3">
        <v>0</v>
      </c>
      <c r="AL48" s="1">
        <v>1</v>
      </c>
      <c r="AM48" s="1">
        <v>0</v>
      </c>
      <c r="AN48" s="1">
        <v>0</v>
      </c>
      <c r="AO48" s="1">
        <v>0</v>
      </c>
      <c r="AP48" s="1">
        <v>0</v>
      </c>
      <c r="AQ48" s="132">
        <v>0</v>
      </c>
      <c r="AR48">
        <v>0</v>
      </c>
      <c r="AS48" s="1">
        <v>0</v>
      </c>
      <c r="AT48" s="1">
        <v>0</v>
      </c>
      <c r="AU48">
        <v>0</v>
      </c>
      <c r="AV48" s="1">
        <v>0</v>
      </c>
      <c r="AW48" s="1">
        <v>140</v>
      </c>
      <c r="AX48" s="1">
        <v>70</v>
      </c>
      <c r="AY48" s="1">
        <v>80</v>
      </c>
      <c r="AZ48" s="1">
        <f t="shared" si="2"/>
        <v>93.333333333333329</v>
      </c>
      <c r="BA48" s="1">
        <v>100</v>
      </c>
      <c r="BB48" s="1">
        <v>40</v>
      </c>
      <c r="BC48" s="1">
        <v>55</v>
      </c>
      <c r="BD48" s="1">
        <v>1.2</v>
      </c>
      <c r="BE48" s="1">
        <f t="shared" si="3"/>
        <v>60</v>
      </c>
      <c r="BF48" s="37">
        <v>90</v>
      </c>
      <c r="BG48" s="1">
        <v>40</v>
      </c>
      <c r="BH48" s="1">
        <v>55</v>
      </c>
      <c r="BI48" s="1">
        <v>1.2</v>
      </c>
      <c r="BJ48" s="1">
        <f t="shared" si="4"/>
        <v>56.666666666666664</v>
      </c>
      <c r="BK48" s="1">
        <v>90</v>
      </c>
      <c r="BL48" s="1">
        <v>40</v>
      </c>
      <c r="BM48" s="1">
        <v>50</v>
      </c>
      <c r="BN48" s="1">
        <v>1.2</v>
      </c>
      <c r="BO48" s="1">
        <f t="shared" si="6"/>
        <v>56.666666666666664</v>
      </c>
      <c r="BP48" s="37">
        <v>90</v>
      </c>
      <c r="BQ48" s="1">
        <v>40</v>
      </c>
      <c r="BR48" s="1">
        <v>50</v>
      </c>
      <c r="BS48" s="1">
        <v>1.2</v>
      </c>
      <c r="BT48" s="1">
        <f t="shared" si="5"/>
        <v>56.666666666666664</v>
      </c>
      <c r="BU48" s="1">
        <v>0</v>
      </c>
      <c r="BV48" s="1">
        <v>20</v>
      </c>
      <c r="BW48" s="1">
        <v>0</v>
      </c>
      <c r="BX48" s="1">
        <v>0</v>
      </c>
      <c r="BY48" s="1">
        <v>0</v>
      </c>
      <c r="BZ48" s="1">
        <v>140</v>
      </c>
      <c r="CA48" s="1">
        <v>0</v>
      </c>
      <c r="CB48" s="1">
        <v>0</v>
      </c>
      <c r="CC48" s="1">
        <v>3</v>
      </c>
      <c r="CD48" s="1">
        <v>0</v>
      </c>
      <c r="CE48" s="1">
        <v>0</v>
      </c>
      <c r="CF48" s="37">
        <v>0</v>
      </c>
    </row>
    <row r="49" spans="1:84" ht="14.25" customHeight="1">
      <c r="A49" s="1">
        <v>48</v>
      </c>
      <c r="B49" s="1">
        <v>1</v>
      </c>
      <c r="C49" s="1">
        <v>0</v>
      </c>
      <c r="D49" s="5">
        <v>22</v>
      </c>
      <c r="E49" s="5">
        <v>120</v>
      </c>
      <c r="F49" s="5">
        <v>169</v>
      </c>
      <c r="G49" s="101">
        <f t="shared" si="7"/>
        <v>42.015335597493092</v>
      </c>
      <c r="H49" s="5">
        <v>1</v>
      </c>
      <c r="I49" s="5">
        <v>4</v>
      </c>
      <c r="J49" s="138">
        <v>0.8</v>
      </c>
      <c r="K49" s="138">
        <v>0</v>
      </c>
      <c r="L49" s="138">
        <v>0</v>
      </c>
      <c r="M49" s="133" t="s">
        <v>261</v>
      </c>
      <c r="N49" s="1">
        <v>4</v>
      </c>
      <c r="O49" s="1">
        <v>1</v>
      </c>
      <c r="P49" s="1">
        <v>3</v>
      </c>
      <c r="Q49" s="1">
        <v>4</v>
      </c>
      <c r="R49" s="1">
        <v>1</v>
      </c>
      <c r="S49" s="1">
        <v>0</v>
      </c>
      <c r="U49" s="103">
        <v>1</v>
      </c>
      <c r="V49" s="103">
        <v>0</v>
      </c>
      <c r="W49" s="6">
        <v>0</v>
      </c>
      <c r="Y49" s="103">
        <v>0</v>
      </c>
      <c r="Z49" s="81">
        <v>0</v>
      </c>
      <c r="AA49" s="1">
        <v>1</v>
      </c>
      <c r="AB49" s="1">
        <v>0</v>
      </c>
      <c r="AC49" s="1">
        <v>2</v>
      </c>
      <c r="AD49" s="1">
        <v>1</v>
      </c>
      <c r="AE49" s="1">
        <v>0</v>
      </c>
      <c r="AF49" s="1">
        <v>0</v>
      </c>
      <c r="AG49" s="1">
        <v>1</v>
      </c>
      <c r="AH49" s="3">
        <v>0</v>
      </c>
      <c r="AI49" s="3">
        <v>1</v>
      </c>
      <c r="AJ49" s="3">
        <v>1</v>
      </c>
      <c r="AK49" s="3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32">
        <v>0</v>
      </c>
      <c r="AR49">
        <v>0</v>
      </c>
      <c r="AS49" s="1">
        <v>0</v>
      </c>
      <c r="AT49" s="1">
        <v>0</v>
      </c>
      <c r="AU49">
        <v>0</v>
      </c>
      <c r="AV49" s="1">
        <v>0</v>
      </c>
      <c r="AW49" s="1">
        <v>120</v>
      </c>
      <c r="AX49" s="1">
        <v>60</v>
      </c>
      <c r="AY49" s="1">
        <v>80</v>
      </c>
      <c r="AZ49" s="1">
        <f t="shared" si="2"/>
        <v>80</v>
      </c>
      <c r="BA49" s="1">
        <v>110</v>
      </c>
      <c r="BB49" s="1">
        <v>80</v>
      </c>
      <c r="BC49" s="1">
        <v>90</v>
      </c>
      <c r="BD49" s="1">
        <v>1.3</v>
      </c>
      <c r="BE49" s="1">
        <f t="shared" si="3"/>
        <v>90</v>
      </c>
      <c r="BF49" s="37">
        <v>110</v>
      </c>
      <c r="BG49" s="1">
        <v>70</v>
      </c>
      <c r="BH49" s="1">
        <v>80</v>
      </c>
      <c r="BI49" s="1">
        <v>1.3</v>
      </c>
      <c r="BJ49" s="1">
        <f t="shared" si="4"/>
        <v>83.333333333333329</v>
      </c>
      <c r="BK49" s="1">
        <v>110</v>
      </c>
      <c r="BL49" s="1">
        <v>70</v>
      </c>
      <c r="BM49" s="1">
        <v>80</v>
      </c>
      <c r="BN49" s="1">
        <v>1.3</v>
      </c>
      <c r="BO49" s="1">
        <f t="shared" si="6"/>
        <v>83.333333333333329</v>
      </c>
      <c r="BP49" s="37">
        <v>100</v>
      </c>
      <c r="BQ49" s="1">
        <v>60</v>
      </c>
      <c r="BR49" s="1">
        <v>80</v>
      </c>
      <c r="BS49" s="1">
        <v>1.3</v>
      </c>
      <c r="BT49" s="1">
        <f t="shared" si="5"/>
        <v>73.333333333333329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240</v>
      </c>
      <c r="CA49" s="1">
        <v>1.3</v>
      </c>
      <c r="CB49" s="1">
        <v>0</v>
      </c>
      <c r="CC49" s="1">
        <v>0</v>
      </c>
      <c r="CD49" s="1">
        <v>0</v>
      </c>
      <c r="CE49" s="1">
        <v>0</v>
      </c>
      <c r="CF49" s="37">
        <v>0</v>
      </c>
    </row>
    <row r="50" spans="1:84" ht="15" customHeight="1">
      <c r="A50" s="1">
        <v>49</v>
      </c>
      <c r="B50" s="1">
        <v>0</v>
      </c>
      <c r="C50" s="1">
        <v>1</v>
      </c>
      <c r="D50" s="5">
        <v>67</v>
      </c>
      <c r="E50" s="5">
        <v>82</v>
      </c>
      <c r="F50" s="5">
        <v>172</v>
      </c>
      <c r="G50" s="101">
        <f t="shared" si="7"/>
        <v>27.717685235262305</v>
      </c>
      <c r="H50" s="5">
        <v>1</v>
      </c>
      <c r="I50" s="5">
        <v>4</v>
      </c>
      <c r="J50" s="138">
        <v>3.8</v>
      </c>
      <c r="K50" s="138">
        <v>0</v>
      </c>
      <c r="L50" s="138">
        <v>1</v>
      </c>
      <c r="M50" s="133" t="s">
        <v>261</v>
      </c>
      <c r="N50" s="1">
        <v>4</v>
      </c>
      <c r="O50" s="1">
        <v>3</v>
      </c>
      <c r="P50" s="1">
        <v>3</v>
      </c>
      <c r="Q50" s="1">
        <v>4</v>
      </c>
      <c r="R50" s="1">
        <v>1</v>
      </c>
      <c r="S50" s="1">
        <v>0</v>
      </c>
      <c r="U50" s="103">
        <v>2</v>
      </c>
      <c r="V50" s="103">
        <v>0</v>
      </c>
      <c r="W50" s="6">
        <v>0</v>
      </c>
      <c r="Y50" s="103">
        <v>1</v>
      </c>
      <c r="Z50" s="81">
        <v>1</v>
      </c>
      <c r="AA50" s="1">
        <v>1</v>
      </c>
      <c r="AB50" s="1">
        <v>0</v>
      </c>
      <c r="AC50" s="1">
        <v>0</v>
      </c>
      <c r="AD50" s="1">
        <v>1</v>
      </c>
      <c r="AE50" s="1">
        <v>0</v>
      </c>
      <c r="AF50" s="1">
        <v>0</v>
      </c>
      <c r="AG50" s="1">
        <v>1</v>
      </c>
      <c r="AH50" s="3">
        <v>0</v>
      </c>
      <c r="AI50" s="3">
        <v>0</v>
      </c>
      <c r="AJ50" s="3">
        <v>1</v>
      </c>
      <c r="AK50" s="3">
        <v>1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32">
        <v>0</v>
      </c>
      <c r="AR50">
        <v>0</v>
      </c>
      <c r="AS50" s="1">
        <v>0</v>
      </c>
      <c r="AT50" s="1">
        <v>0</v>
      </c>
      <c r="AU50">
        <v>0</v>
      </c>
      <c r="AV50" s="1">
        <v>0</v>
      </c>
      <c r="AW50" s="1">
        <v>120</v>
      </c>
      <c r="AX50" s="1">
        <v>70</v>
      </c>
      <c r="AY50" s="1">
        <v>70</v>
      </c>
      <c r="AZ50" s="1">
        <f t="shared" si="2"/>
        <v>86.666666666666671</v>
      </c>
      <c r="BA50" s="1">
        <v>80</v>
      </c>
      <c r="BB50" s="1">
        <v>40</v>
      </c>
      <c r="BC50" s="1">
        <v>70</v>
      </c>
      <c r="BD50" s="1">
        <v>1.2</v>
      </c>
      <c r="BE50" s="1">
        <f t="shared" si="3"/>
        <v>53.333333333333336</v>
      </c>
      <c r="BF50" s="37">
        <v>100</v>
      </c>
      <c r="BG50" s="1">
        <v>60</v>
      </c>
      <c r="BH50" s="1">
        <v>70</v>
      </c>
      <c r="BI50" s="1">
        <v>1.2</v>
      </c>
      <c r="BJ50" s="1">
        <f t="shared" si="4"/>
        <v>73.333333333333329</v>
      </c>
      <c r="BK50" s="1">
        <v>90</v>
      </c>
      <c r="BL50" s="1">
        <v>50</v>
      </c>
      <c r="BM50" s="1">
        <v>70</v>
      </c>
      <c r="BN50" s="1">
        <v>1.2</v>
      </c>
      <c r="BO50" s="1">
        <f t="shared" si="6"/>
        <v>63.333333333333336</v>
      </c>
      <c r="BP50" s="37">
        <v>90</v>
      </c>
      <c r="BQ50" s="1">
        <v>50</v>
      </c>
      <c r="BR50" s="1">
        <v>70</v>
      </c>
      <c r="BS50" s="1">
        <v>1.2</v>
      </c>
      <c r="BT50" s="1">
        <f t="shared" si="5"/>
        <v>63.333333333333336</v>
      </c>
      <c r="BU50" s="1">
        <v>0</v>
      </c>
      <c r="BV50" s="1">
        <v>20</v>
      </c>
      <c r="BW50" s="1">
        <v>0</v>
      </c>
      <c r="BX50" s="1">
        <v>0</v>
      </c>
      <c r="BY50" s="1">
        <v>0</v>
      </c>
      <c r="BZ50" s="1">
        <v>160</v>
      </c>
      <c r="CA50" s="1">
        <v>0</v>
      </c>
      <c r="CB50" s="1">
        <v>0</v>
      </c>
      <c r="CC50" s="1">
        <v>5</v>
      </c>
      <c r="CD50" s="1">
        <v>0</v>
      </c>
      <c r="CE50" s="1">
        <v>100</v>
      </c>
      <c r="CF50" s="37">
        <v>0</v>
      </c>
    </row>
    <row r="51" spans="1:84" ht="15" customHeight="1">
      <c r="A51" s="1">
        <v>50</v>
      </c>
      <c r="B51" s="1">
        <v>0</v>
      </c>
      <c r="C51" s="1">
        <v>1</v>
      </c>
      <c r="D51" s="5">
        <v>70</v>
      </c>
      <c r="E51" s="5">
        <v>84</v>
      </c>
      <c r="F51" s="5">
        <v>178</v>
      </c>
      <c r="G51" s="101">
        <f t="shared" si="7"/>
        <v>26.511804065143288</v>
      </c>
      <c r="H51" s="5">
        <v>1</v>
      </c>
      <c r="I51" s="5">
        <v>4</v>
      </c>
      <c r="J51" s="138">
        <v>4.0999999999999996</v>
      </c>
      <c r="K51" s="138">
        <v>0</v>
      </c>
      <c r="L51" s="138">
        <v>1</v>
      </c>
      <c r="M51" s="133" t="s">
        <v>261</v>
      </c>
      <c r="N51" s="1">
        <v>4</v>
      </c>
      <c r="O51" s="1">
        <v>2</v>
      </c>
      <c r="P51" s="1">
        <v>3</v>
      </c>
      <c r="Q51" s="1">
        <v>4</v>
      </c>
      <c r="R51" s="1">
        <v>1</v>
      </c>
      <c r="S51" s="1">
        <v>0</v>
      </c>
      <c r="U51" s="103">
        <v>2</v>
      </c>
      <c r="V51" s="103">
        <v>0</v>
      </c>
      <c r="W51" s="6">
        <v>0</v>
      </c>
      <c r="Y51" s="103">
        <v>0</v>
      </c>
      <c r="Z51" s="81">
        <v>0</v>
      </c>
      <c r="AA51" s="1">
        <v>1</v>
      </c>
      <c r="AB51" s="1">
        <v>1</v>
      </c>
      <c r="AC51" s="1">
        <v>0</v>
      </c>
      <c r="AD51" s="1">
        <v>1</v>
      </c>
      <c r="AE51" s="1">
        <v>0</v>
      </c>
      <c r="AF51" s="1">
        <v>0</v>
      </c>
      <c r="AG51" s="1">
        <v>0</v>
      </c>
      <c r="AH51" s="3">
        <v>1</v>
      </c>
      <c r="AI51" s="3">
        <v>0</v>
      </c>
      <c r="AJ51" s="3">
        <v>1</v>
      </c>
      <c r="AK51" s="3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32">
        <v>0</v>
      </c>
      <c r="AR51">
        <v>0</v>
      </c>
      <c r="AS51" s="1">
        <v>0</v>
      </c>
      <c r="AT51" s="1">
        <v>0</v>
      </c>
      <c r="AU51">
        <v>0</v>
      </c>
      <c r="AV51" s="1">
        <v>0</v>
      </c>
      <c r="AW51" s="1">
        <v>110</v>
      </c>
      <c r="AX51" s="1">
        <v>60</v>
      </c>
      <c r="AY51" s="1">
        <v>75</v>
      </c>
      <c r="AZ51" s="1">
        <f t="shared" si="2"/>
        <v>76.666666666666671</v>
      </c>
      <c r="BA51" s="1">
        <v>100</v>
      </c>
      <c r="BB51" s="1">
        <v>60</v>
      </c>
      <c r="BC51" s="1">
        <v>70</v>
      </c>
      <c r="BD51" s="1">
        <v>1.2</v>
      </c>
      <c r="BE51" s="1">
        <f t="shared" si="3"/>
        <v>73.333333333333329</v>
      </c>
      <c r="BF51" s="37">
        <v>80</v>
      </c>
      <c r="BG51" s="1">
        <v>40</v>
      </c>
      <c r="BH51" s="1">
        <v>70</v>
      </c>
      <c r="BI51" s="1">
        <v>1.2</v>
      </c>
      <c r="BJ51" s="1">
        <f t="shared" si="4"/>
        <v>53.333333333333336</v>
      </c>
      <c r="BK51" s="1">
        <v>120</v>
      </c>
      <c r="BL51" s="1">
        <v>70</v>
      </c>
      <c r="BM51" s="1">
        <v>80</v>
      </c>
      <c r="BN51" s="1">
        <v>1.2</v>
      </c>
      <c r="BO51" s="1">
        <f t="shared" si="6"/>
        <v>86.666666666666671</v>
      </c>
      <c r="BP51" s="37">
        <v>120</v>
      </c>
      <c r="BQ51" s="1">
        <v>70</v>
      </c>
      <c r="BR51" s="1">
        <v>70</v>
      </c>
      <c r="BS51" s="1">
        <v>1.2</v>
      </c>
      <c r="BT51" s="1">
        <f t="shared" si="5"/>
        <v>86.666666666666671</v>
      </c>
      <c r="BU51" s="1">
        <v>0</v>
      </c>
      <c r="BV51" s="1">
        <v>20</v>
      </c>
      <c r="BW51" s="1">
        <v>0</v>
      </c>
      <c r="BX51" s="1">
        <v>0</v>
      </c>
      <c r="BY51" s="1">
        <v>0</v>
      </c>
      <c r="BZ51" s="1">
        <v>160</v>
      </c>
      <c r="CA51" s="1">
        <v>0</v>
      </c>
      <c r="CB51" s="1">
        <v>0</v>
      </c>
      <c r="CC51" s="1">
        <v>10</v>
      </c>
      <c r="CD51" s="1">
        <v>0</v>
      </c>
      <c r="CE51" s="1">
        <v>140</v>
      </c>
      <c r="CF51" s="37">
        <v>0</v>
      </c>
    </row>
    <row r="52" spans="1:84" ht="15" customHeight="1">
      <c r="A52" s="1">
        <v>51</v>
      </c>
      <c r="B52" s="1">
        <v>1</v>
      </c>
      <c r="C52" s="1">
        <v>0</v>
      </c>
      <c r="D52" s="5">
        <v>81</v>
      </c>
      <c r="E52" s="5">
        <v>70</v>
      </c>
      <c r="F52" s="5">
        <v>162</v>
      </c>
      <c r="G52" s="101">
        <f t="shared" si="7"/>
        <v>26.672763298277697</v>
      </c>
      <c r="H52" s="5">
        <v>1</v>
      </c>
      <c r="I52" s="5">
        <v>4</v>
      </c>
      <c r="J52" s="138">
        <v>4.0999999999999996</v>
      </c>
      <c r="K52" s="138">
        <v>0</v>
      </c>
      <c r="L52" s="138">
        <v>1</v>
      </c>
      <c r="M52" s="133" t="s">
        <v>261</v>
      </c>
      <c r="N52" s="1">
        <v>4</v>
      </c>
      <c r="O52" s="1">
        <v>2</v>
      </c>
      <c r="P52" s="1">
        <v>3</v>
      </c>
      <c r="Q52" s="1">
        <v>1</v>
      </c>
      <c r="R52" s="1">
        <v>1</v>
      </c>
      <c r="S52" s="1">
        <v>2</v>
      </c>
      <c r="T52" s="103">
        <v>2</v>
      </c>
      <c r="U52" s="103">
        <v>3</v>
      </c>
      <c r="V52" s="103">
        <v>0</v>
      </c>
      <c r="W52" s="6">
        <v>0</v>
      </c>
      <c r="Y52" s="103">
        <v>0</v>
      </c>
      <c r="Z52" s="81">
        <v>0</v>
      </c>
      <c r="AA52" s="1">
        <v>0</v>
      </c>
      <c r="AB52" s="1">
        <v>1</v>
      </c>
      <c r="AC52" s="1">
        <v>0</v>
      </c>
      <c r="AD52" s="1">
        <v>1</v>
      </c>
      <c r="AE52" s="1">
        <v>0</v>
      </c>
      <c r="AF52" s="1">
        <v>1</v>
      </c>
      <c r="AG52" s="1">
        <v>1</v>
      </c>
      <c r="AH52" s="3">
        <v>0</v>
      </c>
      <c r="AI52" s="3">
        <v>1</v>
      </c>
      <c r="AJ52" s="3">
        <v>1</v>
      </c>
      <c r="AK52" s="3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32">
        <v>0</v>
      </c>
      <c r="AR52">
        <v>1</v>
      </c>
      <c r="AS52" s="1">
        <v>0</v>
      </c>
      <c r="AT52" s="1">
        <v>0</v>
      </c>
      <c r="AU52">
        <v>0</v>
      </c>
      <c r="AV52" s="1">
        <v>0</v>
      </c>
      <c r="AW52" s="1">
        <v>140</v>
      </c>
      <c r="AX52" s="1">
        <v>60</v>
      </c>
      <c r="AY52" s="1">
        <v>100</v>
      </c>
      <c r="AZ52" s="1">
        <f t="shared" si="2"/>
        <v>86.666666666666671</v>
      </c>
      <c r="BA52" s="1">
        <v>120</v>
      </c>
      <c r="BB52" s="1">
        <v>50</v>
      </c>
      <c r="BC52" s="1">
        <v>90</v>
      </c>
      <c r="BD52" s="1">
        <v>1.2</v>
      </c>
      <c r="BE52" s="1">
        <f t="shared" si="3"/>
        <v>73.333333333333329</v>
      </c>
      <c r="BF52" s="37">
        <v>100</v>
      </c>
      <c r="BG52" s="1">
        <v>40</v>
      </c>
      <c r="BH52" s="1">
        <v>90</v>
      </c>
      <c r="BI52" s="1">
        <v>1.2</v>
      </c>
      <c r="BJ52" s="1">
        <f t="shared" si="4"/>
        <v>60</v>
      </c>
      <c r="BK52" s="1">
        <v>95</v>
      </c>
      <c r="BL52" s="1">
        <v>40</v>
      </c>
      <c r="BM52" s="1">
        <v>90</v>
      </c>
      <c r="BN52" s="1">
        <v>1.2</v>
      </c>
      <c r="BO52" s="1">
        <f t="shared" si="6"/>
        <v>58.333333333333336</v>
      </c>
      <c r="BP52" s="37">
        <v>95</v>
      </c>
      <c r="BQ52" s="1">
        <v>40</v>
      </c>
      <c r="BR52" s="1">
        <v>70</v>
      </c>
      <c r="BS52" s="1">
        <v>1.2</v>
      </c>
      <c r="BT52" s="1">
        <f t="shared" si="5"/>
        <v>58.333333333333336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140</v>
      </c>
      <c r="CA52" s="1">
        <v>1.2</v>
      </c>
      <c r="CB52" s="1">
        <v>0</v>
      </c>
      <c r="CC52" s="1">
        <v>0</v>
      </c>
      <c r="CD52" s="1">
        <v>0</v>
      </c>
      <c r="CE52" s="1">
        <v>0</v>
      </c>
      <c r="CF52" s="37">
        <v>0</v>
      </c>
    </row>
    <row r="53" spans="1:84" ht="15" customHeight="1">
      <c r="A53" s="1">
        <v>52</v>
      </c>
      <c r="B53" s="1">
        <v>1</v>
      </c>
      <c r="C53" s="1">
        <v>0</v>
      </c>
      <c r="D53" s="5">
        <v>78</v>
      </c>
      <c r="E53" s="5">
        <v>67</v>
      </c>
      <c r="F53" s="5">
        <v>162</v>
      </c>
      <c r="G53" s="101">
        <f t="shared" si="7"/>
        <v>25.529644871208653</v>
      </c>
      <c r="H53" s="5">
        <v>1</v>
      </c>
      <c r="I53" s="5">
        <v>4</v>
      </c>
      <c r="J53" s="138">
        <v>2.5</v>
      </c>
      <c r="K53" s="138">
        <v>0</v>
      </c>
      <c r="L53" s="138">
        <v>0</v>
      </c>
      <c r="M53" s="133" t="s">
        <v>261</v>
      </c>
      <c r="N53" s="1">
        <v>4</v>
      </c>
      <c r="O53" s="1">
        <v>2</v>
      </c>
      <c r="P53" s="1">
        <v>2</v>
      </c>
      <c r="Q53" s="1">
        <v>1</v>
      </c>
      <c r="R53" s="1">
        <v>1</v>
      </c>
      <c r="S53" s="1">
        <v>0</v>
      </c>
      <c r="U53" s="103">
        <v>2</v>
      </c>
      <c r="V53" s="103">
        <v>0</v>
      </c>
      <c r="W53" s="6">
        <v>0</v>
      </c>
      <c r="Y53" s="103">
        <v>1</v>
      </c>
      <c r="Z53" s="81">
        <v>0</v>
      </c>
      <c r="AA53" s="1">
        <v>1</v>
      </c>
      <c r="AB53" s="1">
        <v>0</v>
      </c>
      <c r="AC53" s="1">
        <v>2</v>
      </c>
      <c r="AD53" s="1">
        <v>1</v>
      </c>
      <c r="AE53" s="1">
        <v>0</v>
      </c>
      <c r="AF53" s="1">
        <v>1</v>
      </c>
      <c r="AG53" s="1">
        <v>1</v>
      </c>
      <c r="AH53" s="3">
        <v>0</v>
      </c>
      <c r="AI53" s="3">
        <v>0</v>
      </c>
      <c r="AJ53" s="3">
        <v>0</v>
      </c>
      <c r="AK53" s="3">
        <v>0</v>
      </c>
      <c r="AL53" s="1">
        <v>1</v>
      </c>
      <c r="AM53" s="1">
        <v>0</v>
      </c>
      <c r="AN53" s="1">
        <v>0</v>
      </c>
      <c r="AO53" s="1">
        <v>0</v>
      </c>
      <c r="AP53" s="1">
        <v>0</v>
      </c>
      <c r="AQ53" s="132">
        <v>0</v>
      </c>
      <c r="AR53">
        <v>0</v>
      </c>
      <c r="AS53" s="1">
        <v>0</v>
      </c>
      <c r="AT53" s="1">
        <v>0</v>
      </c>
      <c r="AU53">
        <v>0</v>
      </c>
      <c r="AV53" s="1">
        <v>0</v>
      </c>
      <c r="AW53" s="1">
        <v>180</v>
      </c>
      <c r="AX53" s="1">
        <v>50</v>
      </c>
      <c r="AY53" s="1">
        <v>75</v>
      </c>
      <c r="AZ53" s="1">
        <f t="shared" si="2"/>
        <v>93.333333333333329</v>
      </c>
      <c r="BA53" s="1">
        <v>130</v>
      </c>
      <c r="BB53" s="1">
        <v>40</v>
      </c>
      <c r="BC53" s="1">
        <v>60</v>
      </c>
      <c r="BD53" s="1">
        <v>1.2</v>
      </c>
      <c r="BE53" s="1">
        <f t="shared" si="3"/>
        <v>70</v>
      </c>
      <c r="BF53" s="37">
        <v>150</v>
      </c>
      <c r="BG53" s="1">
        <v>60</v>
      </c>
      <c r="BH53" s="1">
        <v>60</v>
      </c>
      <c r="BI53" s="1">
        <v>1.2</v>
      </c>
      <c r="BJ53" s="1">
        <f t="shared" si="4"/>
        <v>90</v>
      </c>
      <c r="BK53" s="1">
        <v>100</v>
      </c>
      <c r="BL53" s="1">
        <v>40</v>
      </c>
      <c r="BM53" s="1">
        <v>60</v>
      </c>
      <c r="BN53" s="1">
        <v>1.2</v>
      </c>
      <c r="BO53" s="1">
        <f t="shared" si="6"/>
        <v>60</v>
      </c>
      <c r="BP53" s="37">
        <v>120</v>
      </c>
      <c r="BQ53" s="1">
        <v>40</v>
      </c>
      <c r="BR53" s="1">
        <v>60</v>
      </c>
      <c r="BS53" s="1">
        <v>1.2</v>
      </c>
      <c r="BT53" s="1">
        <f t="shared" si="5"/>
        <v>66.666666666666671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120</v>
      </c>
      <c r="CA53" s="1">
        <v>1.2</v>
      </c>
      <c r="CB53" s="1">
        <v>0</v>
      </c>
      <c r="CC53" s="1">
        <v>0</v>
      </c>
      <c r="CD53" s="1">
        <v>0</v>
      </c>
      <c r="CE53" s="1">
        <v>0</v>
      </c>
      <c r="CF53" s="37">
        <v>0</v>
      </c>
    </row>
    <row r="54" spans="1:84" ht="14.25" customHeight="1">
      <c r="A54" s="1">
        <v>53</v>
      </c>
      <c r="B54" s="1">
        <v>0</v>
      </c>
      <c r="C54" s="1">
        <v>1</v>
      </c>
      <c r="D54" s="5">
        <v>70</v>
      </c>
      <c r="E54" s="5">
        <v>67</v>
      </c>
      <c r="F54" s="5">
        <v>173</v>
      </c>
      <c r="G54" s="101">
        <f t="shared" si="7"/>
        <v>22.386314277122523</v>
      </c>
      <c r="H54" s="5">
        <v>0</v>
      </c>
      <c r="I54" s="5">
        <v>4</v>
      </c>
      <c r="J54" s="138">
        <v>5.8</v>
      </c>
      <c r="K54" s="138">
        <v>0</v>
      </c>
      <c r="L54" s="138">
        <v>2</v>
      </c>
      <c r="M54" s="133" t="s">
        <v>261</v>
      </c>
      <c r="N54" s="1">
        <v>4</v>
      </c>
      <c r="O54" s="1">
        <v>2</v>
      </c>
      <c r="P54" s="1">
        <v>4</v>
      </c>
      <c r="Q54" s="1">
        <v>4</v>
      </c>
      <c r="R54" s="1">
        <v>0</v>
      </c>
      <c r="S54" s="1">
        <v>2</v>
      </c>
      <c r="T54" s="103">
        <v>2</v>
      </c>
      <c r="U54" s="103">
        <v>3</v>
      </c>
      <c r="V54" s="103">
        <v>0</v>
      </c>
      <c r="W54" s="6">
        <v>0</v>
      </c>
      <c r="Y54" s="103">
        <v>1</v>
      </c>
      <c r="Z54" s="81">
        <v>0</v>
      </c>
      <c r="AA54" s="1">
        <v>1</v>
      </c>
      <c r="AB54" s="1">
        <v>1</v>
      </c>
      <c r="AC54" s="1">
        <v>0</v>
      </c>
      <c r="AD54" s="1">
        <v>1</v>
      </c>
      <c r="AE54" s="1">
        <v>0</v>
      </c>
      <c r="AF54" s="1">
        <v>1</v>
      </c>
      <c r="AG54" s="1">
        <v>0</v>
      </c>
      <c r="AH54" s="3">
        <v>0</v>
      </c>
      <c r="AI54" s="3">
        <v>0</v>
      </c>
      <c r="AJ54" s="3">
        <v>1</v>
      </c>
      <c r="AK54" s="3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32">
        <v>0</v>
      </c>
      <c r="AR54">
        <v>0</v>
      </c>
      <c r="AS54" s="1">
        <v>0</v>
      </c>
      <c r="AT54" s="1">
        <v>0</v>
      </c>
      <c r="AU54">
        <v>0</v>
      </c>
      <c r="AV54" s="1">
        <v>1</v>
      </c>
      <c r="AW54" s="1">
        <v>115</v>
      </c>
      <c r="AX54" s="1">
        <v>70</v>
      </c>
      <c r="AY54" s="1">
        <v>80</v>
      </c>
      <c r="AZ54" s="1">
        <f t="shared" si="2"/>
        <v>85</v>
      </c>
      <c r="BA54" s="1">
        <v>100</v>
      </c>
      <c r="BB54" s="1">
        <v>70</v>
      </c>
      <c r="BC54" s="1">
        <v>90</v>
      </c>
      <c r="BD54" s="1">
        <v>1.2</v>
      </c>
      <c r="BE54" s="1">
        <f t="shared" si="3"/>
        <v>80</v>
      </c>
      <c r="BF54" s="37">
        <v>100</v>
      </c>
      <c r="BG54" s="1">
        <v>70</v>
      </c>
      <c r="BH54" s="1">
        <v>90</v>
      </c>
      <c r="BI54" s="1">
        <v>1.2</v>
      </c>
      <c r="BJ54" s="1">
        <f t="shared" si="4"/>
        <v>80</v>
      </c>
      <c r="BK54" s="1">
        <v>100</v>
      </c>
      <c r="BL54" s="1">
        <v>70</v>
      </c>
      <c r="BM54" s="1">
        <v>90</v>
      </c>
      <c r="BN54" s="1">
        <v>1.2</v>
      </c>
      <c r="BO54" s="1">
        <f t="shared" si="6"/>
        <v>80</v>
      </c>
      <c r="BP54" s="37">
        <v>100</v>
      </c>
      <c r="BQ54" s="1">
        <v>70</v>
      </c>
      <c r="BR54" s="1">
        <v>90</v>
      </c>
      <c r="BS54" s="1">
        <v>1.2</v>
      </c>
      <c r="BT54" s="1">
        <f t="shared" si="5"/>
        <v>80</v>
      </c>
      <c r="BU54" s="1">
        <v>0</v>
      </c>
      <c r="BV54" s="1">
        <v>18</v>
      </c>
      <c r="BW54" s="1">
        <v>0</v>
      </c>
      <c r="BX54" s="1">
        <v>0</v>
      </c>
      <c r="BY54" s="1">
        <v>0</v>
      </c>
      <c r="BZ54" s="1">
        <v>120</v>
      </c>
      <c r="CA54" s="1">
        <v>0</v>
      </c>
      <c r="CB54" s="1">
        <v>0</v>
      </c>
      <c r="CC54" s="1">
        <v>0</v>
      </c>
      <c r="CD54" s="1">
        <v>10000</v>
      </c>
      <c r="CE54" s="1">
        <v>200</v>
      </c>
      <c r="CF54" s="37">
        <v>0</v>
      </c>
    </row>
    <row r="55" spans="1:84" ht="15" customHeight="1">
      <c r="A55" s="1">
        <v>54</v>
      </c>
      <c r="B55" s="1">
        <v>0</v>
      </c>
      <c r="C55" s="1">
        <v>1</v>
      </c>
      <c r="D55" s="5">
        <v>81</v>
      </c>
      <c r="E55" s="5">
        <v>70</v>
      </c>
      <c r="F55" s="5">
        <v>173</v>
      </c>
      <c r="G55" s="101">
        <f t="shared" si="7"/>
        <v>23.388686558187711</v>
      </c>
      <c r="H55" s="5">
        <v>0</v>
      </c>
      <c r="I55" s="5">
        <v>4</v>
      </c>
      <c r="J55" s="138">
        <v>5</v>
      </c>
      <c r="K55" s="138">
        <v>0</v>
      </c>
      <c r="L55" s="138">
        <v>1</v>
      </c>
      <c r="M55" s="143" t="s">
        <v>261</v>
      </c>
      <c r="N55" s="1">
        <v>4</v>
      </c>
      <c r="O55" s="1">
        <v>1</v>
      </c>
      <c r="P55" s="1">
        <v>0</v>
      </c>
      <c r="Q55" s="1">
        <v>1</v>
      </c>
      <c r="R55" s="1">
        <v>1</v>
      </c>
      <c r="S55" s="1">
        <v>0</v>
      </c>
      <c r="U55" s="103">
        <v>2</v>
      </c>
      <c r="V55" s="103">
        <v>0</v>
      </c>
      <c r="W55" s="6">
        <v>0</v>
      </c>
      <c r="Y55" s="103">
        <v>0</v>
      </c>
      <c r="Z55" s="81">
        <v>0</v>
      </c>
      <c r="AA55" s="1">
        <v>0</v>
      </c>
      <c r="AB55" s="1">
        <v>0</v>
      </c>
      <c r="AC55" s="1">
        <v>2</v>
      </c>
      <c r="AD55" s="1">
        <v>1</v>
      </c>
      <c r="AE55" s="1">
        <v>0</v>
      </c>
      <c r="AF55" s="1">
        <v>0</v>
      </c>
      <c r="AG55" s="1">
        <v>0</v>
      </c>
      <c r="AH55" s="3">
        <v>1</v>
      </c>
      <c r="AI55" s="3">
        <v>0</v>
      </c>
      <c r="AJ55" s="3">
        <v>0</v>
      </c>
      <c r="AK55" s="3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32">
        <v>0</v>
      </c>
      <c r="AR55">
        <v>1</v>
      </c>
      <c r="AS55" s="1">
        <v>0</v>
      </c>
      <c r="AT55" s="1">
        <v>0</v>
      </c>
      <c r="AU55">
        <v>0</v>
      </c>
      <c r="AV55" s="1">
        <v>0</v>
      </c>
      <c r="AW55" s="1">
        <v>170</v>
      </c>
      <c r="AX55" s="1">
        <v>70</v>
      </c>
      <c r="AY55" s="1">
        <v>60</v>
      </c>
      <c r="AZ55" s="1">
        <f t="shared" si="2"/>
        <v>103.33333333333333</v>
      </c>
      <c r="BA55" s="1">
        <v>150</v>
      </c>
      <c r="BB55" s="1">
        <v>70</v>
      </c>
      <c r="BC55" s="1">
        <v>50</v>
      </c>
      <c r="BD55" s="1">
        <v>1</v>
      </c>
      <c r="BE55" s="1">
        <f t="shared" si="3"/>
        <v>96.666666666666671</v>
      </c>
      <c r="BF55" s="37">
        <v>100</v>
      </c>
      <c r="BG55" s="1">
        <v>50</v>
      </c>
      <c r="BH55" s="1">
        <v>50</v>
      </c>
      <c r="BI55" s="1">
        <v>1.2</v>
      </c>
      <c r="BJ55" s="1">
        <f t="shared" si="4"/>
        <v>66.666666666666671</v>
      </c>
      <c r="BK55" s="1">
        <v>120</v>
      </c>
      <c r="BL55" s="1">
        <v>60</v>
      </c>
      <c r="BM55" s="1">
        <v>50</v>
      </c>
      <c r="BN55" s="1">
        <v>1.2</v>
      </c>
      <c r="BO55" s="1">
        <f t="shared" si="6"/>
        <v>80</v>
      </c>
      <c r="BP55" s="37">
        <v>100</v>
      </c>
      <c r="BQ55" s="1">
        <v>50</v>
      </c>
      <c r="BR55" s="1">
        <v>50</v>
      </c>
      <c r="BS55" s="1">
        <v>1.2</v>
      </c>
      <c r="BT55" s="1">
        <f t="shared" si="5"/>
        <v>66.666666666666671</v>
      </c>
      <c r="BU55" s="1">
        <v>0</v>
      </c>
      <c r="BV55" s="1">
        <v>20</v>
      </c>
      <c r="BW55" s="1">
        <v>0</v>
      </c>
      <c r="BX55" s="1">
        <v>0</v>
      </c>
      <c r="BY55" s="1">
        <v>0</v>
      </c>
      <c r="BZ55" s="1">
        <v>140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37">
        <v>0</v>
      </c>
    </row>
    <row r="56" spans="1:84" ht="14.25" customHeight="1">
      <c r="A56" s="1">
        <v>55</v>
      </c>
      <c r="B56" s="1">
        <v>0</v>
      </c>
      <c r="C56" s="1">
        <v>0</v>
      </c>
      <c r="D56" s="5">
        <v>75</v>
      </c>
      <c r="E56" s="5">
        <v>43</v>
      </c>
      <c r="F56" s="5">
        <v>154</v>
      </c>
      <c r="G56" s="101">
        <f t="shared" si="7"/>
        <v>18.13121942992073</v>
      </c>
      <c r="H56" s="5">
        <v>0</v>
      </c>
      <c r="I56" s="5">
        <v>4</v>
      </c>
      <c r="J56" s="138">
        <v>4.5</v>
      </c>
      <c r="K56" s="138">
        <v>0</v>
      </c>
      <c r="L56" s="138">
        <v>1</v>
      </c>
      <c r="M56" s="143" t="s">
        <v>261</v>
      </c>
      <c r="N56" s="1">
        <v>4</v>
      </c>
      <c r="O56" s="1">
        <v>2</v>
      </c>
      <c r="P56" s="1">
        <v>3</v>
      </c>
      <c r="Q56" s="1">
        <v>3</v>
      </c>
      <c r="R56" s="1">
        <v>1</v>
      </c>
      <c r="S56" s="1">
        <v>0</v>
      </c>
      <c r="U56" s="103">
        <v>3</v>
      </c>
      <c r="V56" s="103">
        <v>0</v>
      </c>
      <c r="W56" s="6">
        <v>0</v>
      </c>
      <c r="Y56" s="103">
        <v>0</v>
      </c>
      <c r="Z56" s="81">
        <v>0</v>
      </c>
      <c r="AA56" s="1">
        <v>0</v>
      </c>
      <c r="AB56" s="1">
        <v>1</v>
      </c>
      <c r="AC56" s="1">
        <v>0</v>
      </c>
      <c r="AD56" s="1">
        <v>1</v>
      </c>
      <c r="AE56" s="1">
        <v>0</v>
      </c>
      <c r="AF56" s="1">
        <v>0</v>
      </c>
      <c r="AG56" s="1">
        <v>0</v>
      </c>
      <c r="AH56" s="3">
        <v>0</v>
      </c>
      <c r="AI56" s="3">
        <v>0</v>
      </c>
      <c r="AJ56" s="3">
        <v>1</v>
      </c>
      <c r="AK56" s="3">
        <v>1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32">
        <v>0</v>
      </c>
      <c r="AR56">
        <v>1</v>
      </c>
      <c r="AS56" s="1">
        <v>0</v>
      </c>
      <c r="AT56" s="1">
        <v>0</v>
      </c>
      <c r="AU56">
        <v>0</v>
      </c>
      <c r="AV56" s="1">
        <v>0</v>
      </c>
      <c r="AW56" s="1">
        <v>140</v>
      </c>
      <c r="AX56" s="1">
        <v>80</v>
      </c>
      <c r="AY56" s="1">
        <v>70</v>
      </c>
      <c r="AZ56" s="1">
        <f t="shared" si="2"/>
        <v>100</v>
      </c>
      <c r="BA56" s="1">
        <v>100</v>
      </c>
      <c r="BB56" s="1">
        <v>60</v>
      </c>
      <c r="BC56" s="1">
        <v>50</v>
      </c>
      <c r="BD56" s="1">
        <v>1.2</v>
      </c>
      <c r="BE56" s="1">
        <f t="shared" si="3"/>
        <v>73.333333333333329</v>
      </c>
      <c r="BF56" s="37">
        <v>90</v>
      </c>
      <c r="BG56" s="1">
        <v>50</v>
      </c>
      <c r="BH56" s="1">
        <v>40</v>
      </c>
      <c r="BI56" s="1">
        <v>1.2</v>
      </c>
      <c r="BJ56" s="1">
        <f t="shared" si="4"/>
        <v>63.333333333333336</v>
      </c>
      <c r="BK56" s="1">
        <v>80</v>
      </c>
      <c r="BL56" s="1">
        <v>40</v>
      </c>
      <c r="BM56" s="1">
        <v>40</v>
      </c>
      <c r="BN56" s="1">
        <v>1.2</v>
      </c>
      <c r="BO56" s="1">
        <f t="shared" si="6"/>
        <v>53.333333333333336</v>
      </c>
      <c r="BP56" s="37">
        <v>110</v>
      </c>
      <c r="BQ56" s="1">
        <v>60</v>
      </c>
      <c r="BR56" s="1">
        <v>80</v>
      </c>
      <c r="BS56" s="1">
        <v>1.2</v>
      </c>
      <c r="BT56" s="1">
        <f t="shared" si="5"/>
        <v>76.666666666666671</v>
      </c>
      <c r="BU56" s="1">
        <v>0</v>
      </c>
      <c r="BV56" s="1">
        <v>14</v>
      </c>
      <c r="BW56" s="1">
        <v>0</v>
      </c>
      <c r="BX56" s="1">
        <v>0</v>
      </c>
      <c r="BY56" s="1">
        <v>0</v>
      </c>
      <c r="BZ56" s="1">
        <v>100</v>
      </c>
      <c r="CA56" s="1">
        <v>0</v>
      </c>
      <c r="CB56" s="1">
        <v>0</v>
      </c>
      <c r="CC56" s="1">
        <v>10</v>
      </c>
      <c r="CD56" s="1">
        <v>0</v>
      </c>
      <c r="CE56" s="1">
        <v>0</v>
      </c>
      <c r="CF56" s="37">
        <v>0</v>
      </c>
    </row>
    <row r="57" spans="1:84" ht="15" customHeight="1">
      <c r="A57" s="1">
        <v>56</v>
      </c>
      <c r="B57" s="1">
        <v>0</v>
      </c>
      <c r="C57" s="1">
        <v>1</v>
      </c>
      <c r="D57" s="5">
        <v>84</v>
      </c>
      <c r="E57" s="5">
        <v>62</v>
      </c>
      <c r="F57" s="5">
        <v>162</v>
      </c>
      <c r="G57" s="101">
        <f t="shared" si="7"/>
        <v>23.624447492760247</v>
      </c>
      <c r="H57" s="5">
        <v>0</v>
      </c>
      <c r="I57" s="5">
        <v>4</v>
      </c>
      <c r="J57" s="138">
        <v>9.4</v>
      </c>
      <c r="K57" s="138">
        <v>2</v>
      </c>
      <c r="L57" s="138">
        <v>1</v>
      </c>
      <c r="M57" s="133" t="s">
        <v>261</v>
      </c>
      <c r="N57" s="1">
        <v>4</v>
      </c>
      <c r="O57" s="1">
        <v>3</v>
      </c>
      <c r="P57" s="1">
        <v>3</v>
      </c>
      <c r="Q57" s="1">
        <v>4</v>
      </c>
      <c r="R57" s="1">
        <v>1</v>
      </c>
      <c r="S57" s="1">
        <v>0</v>
      </c>
      <c r="U57" s="103">
        <v>4</v>
      </c>
      <c r="V57" s="103">
        <v>0</v>
      </c>
      <c r="W57" s="6">
        <v>0</v>
      </c>
      <c r="Y57" s="103">
        <v>1</v>
      </c>
      <c r="Z57" s="81">
        <v>0</v>
      </c>
      <c r="AA57" s="1">
        <v>1</v>
      </c>
      <c r="AB57" s="1">
        <v>0</v>
      </c>
      <c r="AC57" s="1">
        <v>2</v>
      </c>
      <c r="AD57" s="1">
        <v>1</v>
      </c>
      <c r="AE57" s="1">
        <v>1</v>
      </c>
      <c r="AF57" s="1">
        <v>1</v>
      </c>
      <c r="AG57" s="1">
        <v>0</v>
      </c>
      <c r="AH57" s="3">
        <v>1</v>
      </c>
      <c r="AI57" s="3">
        <v>0</v>
      </c>
      <c r="AJ57" s="3">
        <v>1</v>
      </c>
      <c r="AK57" s="3">
        <v>0</v>
      </c>
      <c r="AL57" s="1">
        <v>1</v>
      </c>
      <c r="AM57" s="1">
        <v>0</v>
      </c>
      <c r="AN57" s="1">
        <v>0</v>
      </c>
      <c r="AO57" s="1">
        <v>0</v>
      </c>
      <c r="AP57" s="1">
        <v>0</v>
      </c>
      <c r="AQ57" s="132">
        <v>0</v>
      </c>
      <c r="AR57">
        <v>0</v>
      </c>
      <c r="AS57" s="1">
        <v>0</v>
      </c>
      <c r="AT57" s="1">
        <v>0</v>
      </c>
      <c r="AU57">
        <v>0</v>
      </c>
      <c r="AV57" s="1">
        <v>0</v>
      </c>
      <c r="AW57" s="1">
        <v>130</v>
      </c>
      <c r="AX57" s="1">
        <v>60</v>
      </c>
      <c r="AY57" s="1">
        <v>60</v>
      </c>
      <c r="AZ57" s="1">
        <f t="shared" si="2"/>
        <v>83.333333333333329</v>
      </c>
      <c r="BA57" s="1">
        <v>90</v>
      </c>
      <c r="BB57" s="1">
        <v>40</v>
      </c>
      <c r="BC57" s="1">
        <v>60</v>
      </c>
      <c r="BD57" s="1">
        <v>1</v>
      </c>
      <c r="BE57" s="1">
        <f t="shared" si="3"/>
        <v>56.666666666666664</v>
      </c>
      <c r="BF57" s="37">
        <v>90</v>
      </c>
      <c r="BG57" s="1">
        <v>50</v>
      </c>
      <c r="BH57" s="1">
        <v>60</v>
      </c>
      <c r="BI57" s="1">
        <v>1</v>
      </c>
      <c r="BJ57" s="1">
        <f t="shared" si="4"/>
        <v>63.333333333333336</v>
      </c>
      <c r="BK57" s="1">
        <v>90</v>
      </c>
      <c r="BL57" s="1">
        <v>60</v>
      </c>
      <c r="BM57" s="1">
        <v>60</v>
      </c>
      <c r="BN57" s="1">
        <v>1</v>
      </c>
      <c r="BO57" s="1">
        <f t="shared" si="6"/>
        <v>70</v>
      </c>
      <c r="BP57" s="37">
        <v>90</v>
      </c>
      <c r="BQ57" s="1">
        <v>50</v>
      </c>
      <c r="BR57" s="1">
        <v>60</v>
      </c>
      <c r="BS57" s="1">
        <v>1</v>
      </c>
      <c r="BT57" s="1">
        <f t="shared" si="5"/>
        <v>63.333333333333336</v>
      </c>
      <c r="BU57" s="1">
        <v>0</v>
      </c>
      <c r="BV57" s="1">
        <v>18</v>
      </c>
      <c r="BW57" s="1">
        <v>0</v>
      </c>
      <c r="BX57" s="1">
        <v>0</v>
      </c>
      <c r="BY57" s="1">
        <v>0</v>
      </c>
      <c r="BZ57" s="1">
        <v>120</v>
      </c>
      <c r="CA57" s="1">
        <v>0</v>
      </c>
      <c r="CB57" s="1">
        <v>0</v>
      </c>
      <c r="CC57" s="1">
        <v>10</v>
      </c>
      <c r="CD57" s="1">
        <v>0</v>
      </c>
      <c r="CE57" s="1">
        <v>0</v>
      </c>
      <c r="CF57" s="37">
        <v>0</v>
      </c>
    </row>
    <row r="58" spans="1:84" ht="14.25" customHeight="1">
      <c r="A58" s="1">
        <v>57</v>
      </c>
      <c r="B58" s="1">
        <v>0</v>
      </c>
      <c r="C58" s="1">
        <v>1</v>
      </c>
      <c r="D58" s="5">
        <v>49</v>
      </c>
      <c r="E58" s="5">
        <v>95</v>
      </c>
      <c r="F58" s="5">
        <v>173</v>
      </c>
      <c r="G58" s="101">
        <f t="shared" si="7"/>
        <v>31.741788900397605</v>
      </c>
      <c r="H58" s="5">
        <v>1</v>
      </c>
      <c r="I58" s="5">
        <v>4</v>
      </c>
      <c r="J58" s="138">
        <v>1.4</v>
      </c>
      <c r="K58" s="138">
        <v>0</v>
      </c>
      <c r="L58" s="138">
        <v>0</v>
      </c>
      <c r="M58" s="143" t="s">
        <v>261</v>
      </c>
      <c r="N58" s="1">
        <v>4</v>
      </c>
      <c r="O58" s="1">
        <v>2</v>
      </c>
      <c r="P58" s="1">
        <v>3</v>
      </c>
      <c r="Q58" s="1">
        <v>4</v>
      </c>
      <c r="R58" s="1">
        <v>1</v>
      </c>
      <c r="S58" s="1">
        <v>2</v>
      </c>
      <c r="T58" s="103">
        <v>1</v>
      </c>
      <c r="U58" s="103">
        <v>1</v>
      </c>
      <c r="V58" s="103">
        <v>0</v>
      </c>
      <c r="W58" s="6">
        <v>0</v>
      </c>
      <c r="Y58" s="103">
        <v>0</v>
      </c>
      <c r="Z58" s="81">
        <v>0</v>
      </c>
      <c r="AA58" s="1">
        <v>0</v>
      </c>
      <c r="AB58" s="1">
        <v>1</v>
      </c>
      <c r="AC58" s="1">
        <v>2</v>
      </c>
      <c r="AD58" s="1">
        <v>0</v>
      </c>
      <c r="AF58" s="1">
        <v>0</v>
      </c>
      <c r="AG58" s="1">
        <v>1</v>
      </c>
      <c r="AH58" s="3">
        <v>0</v>
      </c>
      <c r="AI58" s="3">
        <v>1</v>
      </c>
      <c r="AJ58" s="3">
        <v>1</v>
      </c>
      <c r="AK58" s="3">
        <v>1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32">
        <v>0</v>
      </c>
      <c r="AR58">
        <v>0</v>
      </c>
      <c r="AS58" s="1">
        <v>0</v>
      </c>
      <c r="AT58" s="1">
        <v>0</v>
      </c>
      <c r="AU58">
        <v>0</v>
      </c>
      <c r="AV58" s="1">
        <v>0</v>
      </c>
      <c r="AW58" s="1">
        <v>140</v>
      </c>
      <c r="AX58" s="1">
        <v>90</v>
      </c>
      <c r="AY58" s="1">
        <v>110</v>
      </c>
      <c r="AZ58" s="1">
        <f t="shared" si="2"/>
        <v>106.66666666666667</v>
      </c>
      <c r="BA58" s="1">
        <v>140</v>
      </c>
      <c r="BB58" s="1">
        <v>90</v>
      </c>
      <c r="BC58" s="1">
        <v>120</v>
      </c>
      <c r="BD58" s="1">
        <v>1.3</v>
      </c>
      <c r="BE58" s="1">
        <f t="shared" si="3"/>
        <v>106.66666666666667</v>
      </c>
      <c r="BF58" s="37">
        <v>90</v>
      </c>
      <c r="BG58" s="1">
        <v>60</v>
      </c>
      <c r="BH58" s="1">
        <v>80</v>
      </c>
      <c r="BI58" s="1">
        <v>1.3</v>
      </c>
      <c r="BJ58" s="1">
        <f t="shared" si="4"/>
        <v>70</v>
      </c>
      <c r="BK58" s="1">
        <v>90</v>
      </c>
      <c r="BL58" s="1">
        <v>60</v>
      </c>
      <c r="BM58" s="1">
        <v>80</v>
      </c>
      <c r="BN58" s="1">
        <v>1.3</v>
      </c>
      <c r="BO58" s="1">
        <f t="shared" si="6"/>
        <v>70</v>
      </c>
      <c r="BP58" s="37">
        <v>90</v>
      </c>
      <c r="BQ58" s="1">
        <v>60</v>
      </c>
      <c r="BR58" s="1">
        <v>90</v>
      </c>
      <c r="BS58" s="1">
        <v>1.3</v>
      </c>
      <c r="BT58" s="1">
        <f t="shared" si="5"/>
        <v>70</v>
      </c>
      <c r="BU58" s="1">
        <v>0</v>
      </c>
      <c r="BV58" s="1">
        <v>20</v>
      </c>
      <c r="BW58" s="1">
        <v>0</v>
      </c>
      <c r="BX58" s="1">
        <v>0</v>
      </c>
      <c r="BY58" s="1">
        <v>0</v>
      </c>
      <c r="BZ58" s="1">
        <v>180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37">
        <v>0</v>
      </c>
    </row>
    <row r="59" spans="1:84" ht="15" customHeight="1"/>
    <row r="60" spans="1:84" ht="15" customHeight="1"/>
    <row r="61" spans="1:84" ht="15" customHeight="1"/>
    <row r="62" spans="1:84" ht="14.25" customHeight="1"/>
    <row r="63" spans="1:84" ht="15" customHeight="1"/>
    <row r="64" spans="1:84" ht="14.25" customHeight="1"/>
    <row r="65" ht="15" customHeight="1"/>
    <row r="66" ht="14.25" customHeight="1"/>
    <row r="67" ht="14.25" customHeight="1"/>
    <row r="68" ht="14.25" customHeight="1"/>
    <row r="69" ht="14.25" customHeight="1"/>
    <row r="70" ht="14.25" customHeight="1"/>
    <row r="71" ht="1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5" customHeight="1"/>
    <row r="80" ht="14.25" customHeight="1"/>
    <row r="81" spans="1:84" ht="15" customHeight="1"/>
    <row r="82" spans="1:84" ht="15" customHeight="1"/>
    <row r="83" spans="1:84" ht="14.25" customHeight="1"/>
    <row r="84" spans="1:84" ht="14.25" customHeight="1"/>
    <row r="85" spans="1:84" ht="15" customHeight="1"/>
    <row r="86" spans="1:84" ht="14.25" customHeight="1"/>
    <row r="87" spans="1:84" ht="15" customHeight="1"/>
    <row r="88" spans="1:84" ht="15" customHeight="1"/>
    <row r="89" spans="1:84" ht="15" customHeight="1"/>
    <row r="90" spans="1:84" ht="15" customHeight="1"/>
    <row r="91" spans="1:84" s="108" customFormat="1" ht="15">
      <c r="A91" s="2"/>
      <c r="B91" s="2"/>
      <c r="C91" s="1"/>
      <c r="D91" s="5"/>
      <c r="E91" s="5"/>
      <c r="F91" s="5"/>
      <c r="G91" s="101"/>
      <c r="H91" s="5"/>
      <c r="I91"/>
      <c r="J91"/>
      <c r="K91"/>
      <c r="L91"/>
      <c r="M91" s="133"/>
      <c r="N91" s="1"/>
      <c r="O91" s="1"/>
      <c r="P91" s="1"/>
      <c r="Q91" s="1"/>
      <c r="R91" s="1"/>
      <c r="S91" s="1"/>
      <c r="T91" s="103"/>
      <c r="U91" s="103"/>
      <c r="V91" s="103"/>
      <c r="W91" s="6"/>
      <c r="X91" s="103"/>
      <c r="Y91" s="103"/>
      <c r="Z91" s="81"/>
      <c r="AA91" s="1"/>
      <c r="AB91" s="1"/>
      <c r="AC91" s="1"/>
      <c r="AD91" s="1"/>
      <c r="AE91" s="1"/>
      <c r="AF91" s="1"/>
      <c r="AG91" s="1"/>
      <c r="AH91" s="3"/>
      <c r="AI91" s="3"/>
      <c r="AJ91" s="3"/>
      <c r="AK91" s="3"/>
      <c r="AL91" s="1"/>
      <c r="AM91" s="1"/>
      <c r="AN91" s="1"/>
      <c r="AO91" s="1"/>
      <c r="AP91" s="1"/>
      <c r="AQ91" s="132"/>
      <c r="AR91"/>
      <c r="AS91" s="1"/>
      <c r="AT91" s="1"/>
      <c r="AU9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37"/>
      <c r="BG91"/>
      <c r="BH91"/>
      <c r="BI91"/>
      <c r="BJ91"/>
      <c r="BK91"/>
      <c r="BL91" s="1"/>
      <c r="BM91" s="1"/>
      <c r="BN91" s="1"/>
      <c r="BO91" s="1"/>
      <c r="BP91" s="37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37"/>
    </row>
    <row r="92" spans="1:84" ht="14.25" customHeight="1"/>
    <row r="93" spans="1:84" ht="15" customHeight="1"/>
    <row r="94" spans="1:84" ht="15" customHeight="1"/>
    <row r="95" spans="1:84" ht="15" customHeight="1"/>
    <row r="96" spans="1:84" ht="14.25" customHeight="1"/>
    <row r="97" ht="14.25" customHeight="1"/>
    <row r="98" ht="14.25" customHeight="1"/>
    <row r="99" ht="14.25" customHeight="1"/>
    <row r="100" ht="15" customHeight="1"/>
    <row r="101" ht="15" customHeight="1"/>
    <row r="102" ht="15" customHeight="1"/>
    <row r="103" ht="14.25" customHeight="1"/>
    <row r="104" ht="14.25" customHeight="1"/>
    <row r="105" ht="15" customHeight="1"/>
    <row r="106" ht="14.25" customHeight="1"/>
    <row r="107" ht="15" customHeight="1"/>
    <row r="108" ht="14.25" customHeight="1"/>
    <row r="109" ht="14.25" customHeight="1"/>
    <row r="110" ht="14.25" customHeight="1"/>
    <row r="111" ht="14.25" customHeight="1"/>
    <row r="112" ht="15" customHeight="1"/>
    <row r="113" ht="15" customHeight="1"/>
    <row r="114" ht="14.25" customHeight="1"/>
    <row r="115" ht="15" customHeight="1"/>
    <row r="116" ht="14.25" customHeight="1"/>
    <row r="117" ht="14.25" customHeight="1"/>
    <row r="118" ht="15" customHeight="1"/>
    <row r="119" ht="15" customHeight="1"/>
    <row r="120" ht="1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5" customHeight="1"/>
    <row r="129" spans="1:84" ht="15" customHeight="1"/>
    <row r="130" spans="1:84" ht="14.25" customHeight="1"/>
    <row r="131" spans="1:84" ht="15" customHeight="1"/>
    <row r="132" spans="1:84" ht="15" customHeight="1"/>
    <row r="133" spans="1:84" ht="14.25" customHeight="1"/>
    <row r="134" spans="1:84" ht="14.25" customHeight="1"/>
    <row r="135" spans="1:84" ht="14.25" customHeight="1"/>
    <row r="136" spans="1:84" ht="14.25" customHeight="1"/>
    <row r="137" spans="1:84" s="108" customFormat="1" ht="15">
      <c r="A137" s="2"/>
      <c r="B137" s="2"/>
      <c r="C137" s="1"/>
      <c r="D137" s="5"/>
      <c r="E137" s="5"/>
      <c r="F137" s="5"/>
      <c r="G137" s="101"/>
      <c r="H137" s="5"/>
      <c r="I137"/>
      <c r="J137"/>
      <c r="K137"/>
      <c r="L137"/>
      <c r="M137" s="133"/>
      <c r="N137" s="1"/>
      <c r="O137" s="1"/>
      <c r="P137" s="1"/>
      <c r="Q137" s="1"/>
      <c r="R137" s="1"/>
      <c r="S137" s="1"/>
      <c r="T137" s="103"/>
      <c r="U137" s="103"/>
      <c r="V137" s="103"/>
      <c r="W137" s="6"/>
      <c r="X137" s="103"/>
      <c r="Y137" s="103"/>
      <c r="Z137" s="81"/>
      <c r="AA137" s="1"/>
      <c r="AB137" s="1"/>
      <c r="AC137" s="1"/>
      <c r="AD137" s="1"/>
      <c r="AE137" s="1"/>
      <c r="AF137" s="1"/>
      <c r="AG137" s="1"/>
      <c r="AH137" s="3"/>
      <c r="AI137" s="3"/>
      <c r="AJ137" s="3"/>
      <c r="AK137" s="3"/>
      <c r="AL137" s="1"/>
      <c r="AM137" s="1"/>
      <c r="AN137" s="1"/>
      <c r="AO137" s="1"/>
      <c r="AP137" s="1"/>
      <c r="AQ137" s="132"/>
      <c r="AR137"/>
      <c r="AS137" s="1"/>
      <c r="AT137" s="1"/>
      <c r="AU137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37"/>
      <c r="BG137"/>
      <c r="BH137"/>
      <c r="BI137"/>
      <c r="BJ137"/>
      <c r="BK137"/>
      <c r="BL137" s="1"/>
      <c r="BM137" s="1"/>
      <c r="BN137" s="1"/>
      <c r="BO137" s="1"/>
      <c r="BP137" s="37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37"/>
    </row>
    <row r="138" spans="1:84" ht="15" customHeight="1"/>
    <row r="139" spans="1:84" ht="15" customHeight="1"/>
    <row r="140" spans="1:84" ht="14.25" customHeight="1"/>
    <row r="141" spans="1:84" ht="15" customHeight="1"/>
    <row r="142" spans="1:84" ht="14.25" customHeight="1"/>
    <row r="143" spans="1:84" ht="15" customHeight="1"/>
    <row r="144" spans="1:84" ht="15" customHeight="1"/>
    <row r="145" spans="1:84" ht="15" customHeight="1"/>
    <row r="146" spans="1:84" ht="15" customHeight="1"/>
    <row r="147" spans="1:84" ht="14.25" customHeight="1"/>
    <row r="148" spans="1:84" ht="14.25" customHeight="1"/>
    <row r="149" spans="1:84" ht="15" customHeight="1"/>
    <row r="150" spans="1:84" ht="15" customHeight="1"/>
    <row r="151" spans="1:84" ht="15" customHeight="1"/>
    <row r="152" spans="1:84" s="108" customFormat="1" ht="15">
      <c r="A152" s="2"/>
      <c r="B152" s="2"/>
      <c r="C152" s="1"/>
      <c r="D152" s="5"/>
      <c r="E152" s="5"/>
      <c r="F152" s="5"/>
      <c r="G152" s="101"/>
      <c r="H152" s="5"/>
      <c r="I152"/>
      <c r="J152"/>
      <c r="K152"/>
      <c r="L152"/>
      <c r="M152" s="133"/>
      <c r="N152" s="1"/>
      <c r="O152" s="1"/>
      <c r="P152" s="1"/>
      <c r="Q152" s="1"/>
      <c r="R152" s="1"/>
      <c r="S152" s="1"/>
      <c r="T152" s="103"/>
      <c r="U152" s="103"/>
      <c r="V152" s="103"/>
      <c r="W152" s="6"/>
      <c r="X152" s="103"/>
      <c r="Y152" s="103"/>
      <c r="Z152" s="81"/>
      <c r="AA152" s="1"/>
      <c r="AB152" s="1"/>
      <c r="AC152" s="1"/>
      <c r="AD152" s="1"/>
      <c r="AE152" s="1"/>
      <c r="AF152" s="1"/>
      <c r="AG152" s="1"/>
      <c r="AH152" s="3"/>
      <c r="AI152" s="3"/>
      <c r="AJ152" s="3"/>
      <c r="AK152" s="3"/>
      <c r="AL152" s="1"/>
      <c r="AM152" s="1"/>
      <c r="AN152" s="1"/>
      <c r="AO152" s="1"/>
      <c r="AP152" s="1"/>
      <c r="AQ152" s="132"/>
      <c r="AR152"/>
      <c r="AS152" s="1"/>
      <c r="AT152" s="1"/>
      <c r="AU152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37"/>
      <c r="BG152"/>
      <c r="BH152"/>
      <c r="BI152"/>
      <c r="BJ152"/>
      <c r="BK152"/>
      <c r="BL152" s="1"/>
      <c r="BM152" s="1"/>
      <c r="BN152" s="1"/>
      <c r="BO152" s="1"/>
      <c r="BP152" s="37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37"/>
    </row>
    <row r="153" spans="1:84" ht="14.25" customHeight="1"/>
    <row r="154" spans="1:84" ht="14.25" customHeight="1"/>
    <row r="155" spans="1:84" ht="15" customHeight="1"/>
    <row r="156" spans="1:84" ht="14.25" customHeight="1"/>
    <row r="157" spans="1:84" ht="14.25" customHeight="1"/>
    <row r="158" spans="1:84" ht="14.25" customHeight="1"/>
    <row r="159" spans="1:84" ht="15" customHeight="1"/>
    <row r="160" spans="1:84" ht="14.25" customHeight="1"/>
    <row r="161" ht="14.25" customHeight="1"/>
    <row r="162" ht="15" customHeight="1"/>
    <row r="163" ht="15" customHeight="1"/>
    <row r="164" ht="14.25" customHeight="1"/>
    <row r="165" ht="15" customHeight="1"/>
    <row r="166" ht="14.25" customHeight="1"/>
    <row r="167" ht="14.25" customHeight="1"/>
    <row r="168" ht="14.25" customHeight="1"/>
    <row r="169" ht="15" customHeight="1"/>
    <row r="170" ht="15" customHeight="1"/>
    <row r="171" ht="14.25" customHeight="1"/>
    <row r="172" ht="14.25" customHeight="1"/>
    <row r="173" ht="15" customHeight="1"/>
    <row r="174" ht="14.25" customHeight="1"/>
    <row r="175" ht="15" customHeight="1"/>
    <row r="176" ht="15" customHeight="1"/>
    <row r="177" ht="14.25" customHeight="1"/>
    <row r="178" ht="15" customHeight="1"/>
    <row r="179" ht="15" customHeight="1"/>
    <row r="180" ht="14.25" customHeight="1"/>
    <row r="181" ht="14.25" customHeight="1"/>
    <row r="182" ht="14.25" customHeight="1"/>
    <row r="183" ht="15" customHeight="1"/>
    <row r="184" ht="14.25" customHeight="1"/>
    <row r="185" ht="15" customHeight="1"/>
    <row r="186" ht="15" customHeight="1"/>
    <row r="187" ht="14.25" customHeight="1"/>
    <row r="188" ht="14.25" customHeight="1"/>
    <row r="189" ht="14.25" customHeight="1"/>
    <row r="190" ht="14.25" customHeight="1"/>
    <row r="191" ht="15" customHeight="1"/>
    <row r="192" ht="14.25" customHeight="1"/>
    <row r="193" ht="14.25" customHeight="1"/>
    <row r="194" ht="14.25" customHeight="1"/>
    <row r="195" ht="15" customHeight="1"/>
    <row r="196" ht="15" customHeight="1"/>
    <row r="197" ht="15" customHeight="1"/>
    <row r="198" ht="14.25" customHeight="1"/>
    <row r="199" ht="14.25" customHeight="1"/>
    <row r="200" ht="16.5" customHeight="1"/>
    <row r="201" ht="15" customHeight="1"/>
    <row r="202" ht="14.25" customHeight="1"/>
    <row r="203" ht="14.25" customHeight="1"/>
    <row r="204" ht="15" customHeight="1"/>
    <row r="205" ht="14.25" customHeight="1"/>
    <row r="206" ht="14.25" customHeight="1"/>
    <row r="207" ht="14.25" customHeight="1"/>
    <row r="208" ht="14.25" customHeight="1"/>
    <row r="209" spans="1:84" ht="15" customHeight="1"/>
    <row r="210" spans="1:84" ht="15" customHeight="1"/>
    <row r="211" spans="1:84" ht="15" customHeight="1"/>
    <row r="212" spans="1:84" ht="14.25" customHeight="1"/>
    <row r="213" spans="1:84" ht="14.25" customHeight="1"/>
    <row r="214" spans="1:84" ht="14.25" customHeight="1"/>
    <row r="215" spans="1:84" ht="14.25" customHeight="1"/>
    <row r="216" spans="1:84" ht="14.25" customHeight="1"/>
    <row r="217" spans="1:84" ht="14.25" customHeight="1"/>
    <row r="218" spans="1:84" s="108" customFormat="1" ht="15">
      <c r="A218" s="2"/>
      <c r="B218" s="2"/>
      <c r="C218" s="1"/>
      <c r="D218" s="5"/>
      <c r="E218" s="5"/>
      <c r="F218" s="5"/>
      <c r="G218" s="101"/>
      <c r="H218" s="5"/>
      <c r="I218"/>
      <c r="J218"/>
      <c r="K218"/>
      <c r="L218"/>
      <c r="M218" s="133"/>
      <c r="N218" s="1"/>
      <c r="O218" s="1"/>
      <c r="P218" s="1"/>
      <c r="Q218" s="1"/>
      <c r="R218" s="1"/>
      <c r="S218" s="1"/>
      <c r="T218" s="103"/>
      <c r="U218" s="103"/>
      <c r="V218" s="103"/>
      <c r="W218" s="6"/>
      <c r="X218" s="103"/>
      <c r="Y218" s="103"/>
      <c r="Z218" s="81"/>
      <c r="AA218" s="1"/>
      <c r="AB218" s="1"/>
      <c r="AC218" s="1"/>
      <c r="AD218" s="1"/>
      <c r="AE218" s="1"/>
      <c r="AF218" s="1"/>
      <c r="AG218" s="1"/>
      <c r="AH218" s="3"/>
      <c r="AI218" s="3"/>
      <c r="AJ218" s="3"/>
      <c r="AK218" s="3"/>
      <c r="AL218" s="1"/>
      <c r="AM218" s="1"/>
      <c r="AN218" s="1"/>
      <c r="AO218" s="1"/>
      <c r="AP218" s="1"/>
      <c r="AQ218" s="132"/>
      <c r="AR218"/>
      <c r="AS218" s="1"/>
      <c r="AT218" s="1"/>
      <c r="AU218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37"/>
      <c r="BG218"/>
      <c r="BH218"/>
      <c r="BI218"/>
      <c r="BJ218"/>
      <c r="BK218"/>
      <c r="BL218" s="1"/>
      <c r="BM218" s="1"/>
      <c r="BN218" s="1"/>
      <c r="BO218" s="1"/>
      <c r="BP218" s="37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37"/>
    </row>
    <row r="219" spans="1:84" s="59" customFormat="1" ht="15" customHeight="1">
      <c r="A219" s="2"/>
      <c r="B219" s="2"/>
      <c r="C219" s="1"/>
      <c r="D219" s="5"/>
      <c r="E219" s="5"/>
      <c r="F219" s="5"/>
      <c r="G219" s="101"/>
      <c r="H219" s="5"/>
      <c r="I219"/>
      <c r="J219"/>
      <c r="K219"/>
      <c r="L219"/>
      <c r="M219" s="133"/>
      <c r="N219" s="1"/>
      <c r="O219" s="1"/>
      <c r="P219" s="1"/>
      <c r="Q219" s="1"/>
      <c r="R219" s="1"/>
      <c r="S219" s="1"/>
      <c r="T219" s="103"/>
      <c r="U219" s="103"/>
      <c r="V219" s="103"/>
      <c r="W219" s="6"/>
      <c r="X219" s="103"/>
      <c r="Y219" s="103"/>
      <c r="Z219" s="81"/>
      <c r="AA219" s="1"/>
      <c r="AB219" s="1"/>
      <c r="AC219" s="1"/>
      <c r="AD219" s="1"/>
      <c r="AE219" s="1"/>
      <c r="AF219" s="1"/>
      <c r="AG219" s="1"/>
      <c r="AH219" s="3"/>
      <c r="AI219" s="3"/>
      <c r="AJ219" s="3"/>
      <c r="AK219" s="3"/>
      <c r="AL219" s="1"/>
      <c r="AM219" s="1"/>
      <c r="AN219" s="1"/>
      <c r="AO219" s="1"/>
      <c r="AP219" s="1"/>
      <c r="AQ219" s="132"/>
      <c r="AR219"/>
      <c r="AS219" s="1"/>
      <c r="AT219" s="1"/>
      <c r="AU219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37"/>
      <c r="BG219"/>
      <c r="BH219"/>
      <c r="BI219"/>
      <c r="BJ219"/>
      <c r="BK219"/>
      <c r="BL219" s="1"/>
      <c r="BM219" s="1"/>
      <c r="BN219" s="1"/>
      <c r="BO219" s="1"/>
      <c r="BP219" s="37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37"/>
    </row>
    <row r="220" spans="1:84" ht="14" customHeight="1"/>
    <row r="221" spans="1:84" ht="15" customHeight="1"/>
    <row r="222" spans="1:84" ht="14" customHeight="1"/>
    <row r="223" spans="1:84" ht="13.25" customHeight="1"/>
    <row r="224" spans="1:84" ht="14" hidden="1" customHeight="1"/>
    <row r="225" spans="1:84" ht="15.5" hidden="1" customHeight="1"/>
    <row r="226" spans="1:84" ht="15" hidden="1" customHeight="1"/>
    <row r="227" spans="1:84" ht="14" hidden="1" customHeight="1"/>
    <row r="228" spans="1:84" ht="15" hidden="1" customHeight="1"/>
    <row r="229" spans="1:84" ht="15" hidden="1" customHeight="1"/>
    <row r="230" spans="1:84" ht="14" hidden="1" customHeight="1"/>
    <row r="231" spans="1:84" s="59" customFormat="1" ht="14" hidden="1" customHeight="1">
      <c r="A231" s="2"/>
      <c r="B231" s="2"/>
      <c r="C231" s="1"/>
      <c r="D231" s="5"/>
      <c r="E231" s="5"/>
      <c r="F231" s="5"/>
      <c r="G231" s="101"/>
      <c r="H231" s="5"/>
      <c r="I231"/>
      <c r="J231"/>
      <c r="K231"/>
      <c r="L231"/>
      <c r="M231" s="133"/>
      <c r="N231" s="1"/>
      <c r="O231" s="1"/>
      <c r="P231" s="1"/>
      <c r="Q231" s="1"/>
      <c r="R231" s="1"/>
      <c r="S231" s="1"/>
      <c r="T231" s="103"/>
      <c r="U231" s="103"/>
      <c r="V231" s="103"/>
      <c r="W231" s="6"/>
      <c r="X231" s="103"/>
      <c r="Y231" s="103"/>
      <c r="Z231" s="81"/>
      <c r="AA231" s="1"/>
      <c r="AB231" s="1"/>
      <c r="AC231" s="1"/>
      <c r="AD231" s="1"/>
      <c r="AE231" s="1"/>
      <c r="AF231" s="1"/>
      <c r="AG231" s="1"/>
      <c r="AH231" s="3"/>
      <c r="AI231" s="3"/>
      <c r="AJ231" s="3"/>
      <c r="AK231" s="3"/>
      <c r="AL231" s="1"/>
      <c r="AM231" s="1"/>
      <c r="AN231" s="1"/>
      <c r="AO231" s="1"/>
      <c r="AP231" s="1"/>
      <c r="AQ231" s="132"/>
      <c r="AR231"/>
      <c r="AS231" s="1"/>
      <c r="AT231" s="1"/>
      <c r="AU23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37"/>
      <c r="BG231"/>
      <c r="BH231"/>
      <c r="BI231"/>
      <c r="BJ231"/>
      <c r="BK231"/>
      <c r="BL231" s="1"/>
      <c r="BM231" s="1"/>
      <c r="BN231" s="1"/>
      <c r="BO231" s="1"/>
      <c r="BP231" s="37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37"/>
    </row>
    <row r="249" ht="15" customHeight="1"/>
    <row r="250" ht="24.75" customHeight="1"/>
    <row r="289" ht="15" customHeight="1"/>
    <row r="290" ht="36.75" customHeight="1"/>
    <row r="304" ht="15" customHeight="1"/>
    <row r="307" ht="15.75" customHeight="1"/>
    <row r="308" ht="15.75" customHeight="1"/>
    <row r="310" ht="18.75" customHeight="1"/>
    <row r="311" ht="27" customHeight="1"/>
    <row r="320" ht="23" customHeight="1"/>
    <row r="321" spans="1:84" customFormat="1" ht="17" customHeight="1">
      <c r="A321" s="2"/>
      <c r="B321" s="2"/>
      <c r="C321" s="1"/>
      <c r="D321" s="5"/>
      <c r="E321" s="5"/>
      <c r="F321" s="5"/>
      <c r="G321" s="101"/>
      <c r="H321" s="5"/>
      <c r="M321" s="133"/>
      <c r="N321" s="1"/>
      <c r="O321" s="1"/>
      <c r="P321" s="1"/>
      <c r="Q321" s="1"/>
      <c r="R321" s="1"/>
      <c r="S321" s="1"/>
      <c r="T321" s="103"/>
      <c r="U321" s="103"/>
      <c r="V321" s="103"/>
      <c r="W321" s="6"/>
      <c r="X321" s="103"/>
      <c r="Y321" s="103"/>
      <c r="Z321" s="81"/>
      <c r="AA321" s="1"/>
      <c r="AB321" s="1"/>
      <c r="AC321" s="1"/>
      <c r="AD321" s="1"/>
      <c r="AE321" s="1"/>
      <c r="AF321" s="1"/>
      <c r="AG321" s="1"/>
      <c r="AH321" s="3"/>
      <c r="AI321" s="3"/>
      <c r="AJ321" s="3"/>
      <c r="AK321" s="3"/>
      <c r="AL321" s="1"/>
      <c r="AM321" s="1"/>
      <c r="AN321" s="1"/>
      <c r="AO321" s="1"/>
      <c r="AP321" s="1"/>
      <c r="AQ321" s="132"/>
      <c r="AS321" s="1"/>
      <c r="AT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37"/>
      <c r="BL321" s="1"/>
      <c r="BM321" s="1"/>
      <c r="BN321" s="1"/>
      <c r="BO321" s="1"/>
      <c r="BP321" s="37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37"/>
    </row>
    <row r="327" spans="1:84" ht="27" customHeight="1"/>
    <row r="336" spans="1:84" ht="26" customHeight="1"/>
    <row r="339" spans="1:84" customFormat="1" ht="17" customHeight="1">
      <c r="A339" s="2"/>
      <c r="B339" s="2"/>
      <c r="C339" s="1"/>
      <c r="D339" s="5"/>
      <c r="E339" s="5"/>
      <c r="F339" s="5"/>
      <c r="G339" s="101"/>
      <c r="H339" s="5"/>
      <c r="M339" s="133"/>
      <c r="N339" s="1"/>
      <c r="O339" s="1"/>
      <c r="P339" s="1"/>
      <c r="Q339" s="1"/>
      <c r="R339" s="1"/>
      <c r="S339" s="1"/>
      <c r="T339" s="103"/>
      <c r="U339" s="103"/>
      <c r="V339" s="103"/>
      <c r="W339" s="6"/>
      <c r="X339" s="103"/>
      <c r="Y339" s="103"/>
      <c r="Z339" s="81"/>
      <c r="AA339" s="1"/>
      <c r="AB339" s="1"/>
      <c r="AC339" s="1"/>
      <c r="AD339" s="1"/>
      <c r="AE339" s="1"/>
      <c r="AF339" s="1"/>
      <c r="AG339" s="1"/>
      <c r="AH339" s="3"/>
      <c r="AI339" s="3"/>
      <c r="AJ339" s="3"/>
      <c r="AK339" s="3"/>
      <c r="AL339" s="1"/>
      <c r="AM339" s="1"/>
      <c r="AN339" s="1"/>
      <c r="AO339" s="1"/>
      <c r="AP339" s="1"/>
      <c r="AQ339" s="132"/>
      <c r="AS339" s="1"/>
      <c r="AT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37"/>
      <c r="BL339" s="1"/>
      <c r="BM339" s="1"/>
      <c r="BN339" s="1"/>
      <c r="BO339" s="1"/>
      <c r="BP339" s="37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37"/>
    </row>
    <row r="343" spans="1:84" ht="23" customHeight="1"/>
    <row r="365" ht="27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614" spans="1:84" ht="26" customHeight="1"/>
    <row r="624" spans="1:84" s="10" customFormat="1" ht="17" customHeight="1">
      <c r="A624" s="2"/>
      <c r="B624" s="2"/>
      <c r="C624" s="1"/>
      <c r="D624" s="5"/>
      <c r="E624" s="5"/>
      <c r="F624" s="5"/>
      <c r="G624" s="101"/>
      <c r="H624" s="5"/>
      <c r="I624"/>
      <c r="J624"/>
      <c r="K624"/>
      <c r="L624"/>
      <c r="M624" s="133"/>
      <c r="N624" s="1"/>
      <c r="O624" s="1"/>
      <c r="P624" s="1"/>
      <c r="Q624" s="1"/>
      <c r="R624" s="1"/>
      <c r="S624" s="1"/>
      <c r="T624" s="103"/>
      <c r="U624" s="103"/>
      <c r="V624" s="103"/>
      <c r="W624" s="6"/>
      <c r="X624" s="103"/>
      <c r="Y624" s="103"/>
      <c r="Z624" s="81"/>
      <c r="AA624" s="1"/>
      <c r="AB624" s="1"/>
      <c r="AC624" s="1"/>
      <c r="AD624" s="1"/>
      <c r="AE624" s="1"/>
      <c r="AF624" s="1"/>
      <c r="AG624" s="1"/>
      <c r="AH624" s="3"/>
      <c r="AI624" s="3"/>
      <c r="AJ624" s="3"/>
      <c r="AK624" s="3"/>
      <c r="AL624" s="1"/>
      <c r="AM624" s="1"/>
      <c r="AN624" s="1"/>
      <c r="AO624" s="1"/>
      <c r="AP624" s="1"/>
      <c r="AQ624" s="132"/>
      <c r="AR624"/>
      <c r="AS624" s="1"/>
      <c r="AT624" s="1"/>
      <c r="AU624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37"/>
      <c r="BG624"/>
      <c r="BH624"/>
      <c r="BI624"/>
      <c r="BJ624"/>
      <c r="BK624"/>
      <c r="BL624" s="1"/>
      <c r="BM624" s="1"/>
      <c r="BN624" s="1"/>
      <c r="BO624" s="1"/>
      <c r="BP624" s="37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37"/>
    </row>
  </sheetData>
  <conditionalFormatting sqref="C2:CF584">
    <cfRule type="cellIs" dxfId="4" priority="3" operator="equal">
      <formula>"x"</formula>
    </cfRule>
  </conditionalFormatting>
  <pageMargins left="0.75" right="0.75" top="1" bottom="1" header="0.5" footer="0.5"/>
  <pageSetup paperSize="9" orientation="portrait" horizontalDpi="4294967292" vertic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67"/>
  <sheetViews>
    <sheetView workbookViewId="0">
      <selection activeCell="B7" sqref="B7"/>
    </sheetView>
  </sheetViews>
  <sheetFormatPr baseColWidth="10" defaultRowHeight="13"/>
  <cols>
    <col min="1" max="1" width="22.83203125" customWidth="1"/>
    <col min="3" max="3" width="13.83203125" customWidth="1"/>
    <col min="4" max="4" width="14" customWidth="1"/>
    <col min="5" max="5" width="14.6640625" customWidth="1"/>
  </cols>
  <sheetData>
    <row r="1" spans="1:19" ht="16">
      <c r="A1" s="128" t="s">
        <v>140</v>
      </c>
      <c r="L1" s="128" t="s">
        <v>221</v>
      </c>
    </row>
    <row r="2" spans="1:19" ht="14">
      <c r="A2" s="16" t="s">
        <v>7</v>
      </c>
      <c r="B2" s="16" t="s">
        <v>141</v>
      </c>
      <c r="C2" s="16" t="s">
        <v>142</v>
      </c>
      <c r="L2" s="60"/>
      <c r="M2" s="16" t="s">
        <v>222</v>
      </c>
      <c r="R2" s="84"/>
      <c r="S2" s="16" t="s">
        <v>225</v>
      </c>
    </row>
    <row r="3" spans="1:19">
      <c r="A3" s="11" t="s">
        <v>143</v>
      </c>
      <c r="L3" s="117"/>
      <c r="M3" s="16" t="s">
        <v>223</v>
      </c>
    </row>
    <row r="4" spans="1:19">
      <c r="A4" s="16" t="s">
        <v>17</v>
      </c>
      <c r="B4" s="16" t="s">
        <v>144</v>
      </c>
      <c r="C4" s="16" t="s">
        <v>145</v>
      </c>
      <c r="D4" s="16" t="s">
        <v>146</v>
      </c>
      <c r="E4" s="16" t="s">
        <v>147</v>
      </c>
      <c r="L4" s="80"/>
      <c r="M4" s="16" t="s">
        <v>224</v>
      </c>
    </row>
    <row r="5" spans="1:19">
      <c r="A5" s="16"/>
      <c r="B5" s="16"/>
      <c r="C5" s="16"/>
      <c r="D5" s="16"/>
      <c r="E5" s="16"/>
    </row>
    <row r="6" spans="1:19" ht="14">
      <c r="A6" s="16" t="s">
        <v>203</v>
      </c>
      <c r="B6" s="16" t="s">
        <v>179</v>
      </c>
      <c r="C6" s="16" t="s">
        <v>204</v>
      </c>
      <c r="D6" s="16" t="s">
        <v>205</v>
      </c>
      <c r="E6" s="16" t="s">
        <v>207</v>
      </c>
      <c r="F6" s="16" t="s">
        <v>206</v>
      </c>
      <c r="G6" s="16" t="s">
        <v>208</v>
      </c>
    </row>
    <row r="7" spans="1:19">
      <c r="A7" s="16"/>
      <c r="B7" s="16" t="s">
        <v>209</v>
      </c>
      <c r="C7" s="16"/>
      <c r="D7" s="16"/>
      <c r="E7" s="16"/>
    </row>
    <row r="8" spans="1:19">
      <c r="A8" s="16"/>
      <c r="B8" s="16"/>
      <c r="C8" s="16"/>
      <c r="D8" s="16"/>
      <c r="E8" s="16"/>
    </row>
    <row r="9" spans="1:19">
      <c r="A9" s="16" t="s">
        <v>20</v>
      </c>
      <c r="B9" s="16" t="s">
        <v>183</v>
      </c>
      <c r="C9" s="16" t="s">
        <v>229</v>
      </c>
      <c r="D9" s="16" t="s">
        <v>230</v>
      </c>
      <c r="E9" s="16"/>
    </row>
    <row r="10" spans="1:19">
      <c r="A10" s="16" t="s">
        <v>231</v>
      </c>
      <c r="B10" s="16" t="s">
        <v>183</v>
      </c>
      <c r="C10" s="16" t="s">
        <v>232</v>
      </c>
      <c r="D10" s="16" t="s">
        <v>233</v>
      </c>
      <c r="E10" s="16" t="s">
        <v>234</v>
      </c>
    </row>
    <row r="11" spans="1:19">
      <c r="A11" s="16"/>
      <c r="B11" s="16"/>
      <c r="C11" s="16"/>
      <c r="D11" s="16"/>
      <c r="E11" s="16"/>
    </row>
    <row r="12" spans="1:19">
      <c r="A12" s="16"/>
      <c r="B12" s="16"/>
      <c r="C12" s="16"/>
      <c r="D12" s="16"/>
      <c r="E12" s="16"/>
    </row>
    <row r="13" spans="1:19">
      <c r="A13" s="16" t="s">
        <v>226</v>
      </c>
      <c r="B13" s="16"/>
      <c r="C13" s="16" t="s">
        <v>227</v>
      </c>
      <c r="D13" s="16" t="s">
        <v>228</v>
      </c>
      <c r="E13" s="16"/>
    </row>
    <row r="14" spans="1:19">
      <c r="A14" s="16"/>
      <c r="B14" s="16"/>
      <c r="C14" s="16"/>
      <c r="D14" s="16"/>
      <c r="E14" s="16"/>
    </row>
    <row r="15" spans="1:19">
      <c r="A15" s="16" t="s">
        <v>21</v>
      </c>
      <c r="B15" s="16" t="s">
        <v>235</v>
      </c>
      <c r="C15" s="16" t="s">
        <v>236</v>
      </c>
      <c r="D15" s="16" t="s">
        <v>237</v>
      </c>
      <c r="E15" s="16"/>
    </row>
    <row r="16" spans="1:19">
      <c r="A16" s="16"/>
      <c r="B16" s="16"/>
      <c r="C16" s="16"/>
      <c r="D16" s="16"/>
      <c r="E16" s="16"/>
    </row>
    <row r="17" spans="1:7">
      <c r="A17" s="11" t="s">
        <v>210</v>
      </c>
      <c r="B17" s="16"/>
      <c r="C17" s="16"/>
      <c r="D17" s="16"/>
      <c r="E17" s="16"/>
    </row>
    <row r="18" spans="1:7">
      <c r="A18" s="16" t="s">
        <v>211</v>
      </c>
      <c r="B18" s="16" t="s">
        <v>183</v>
      </c>
      <c r="C18" s="16" t="s">
        <v>212</v>
      </c>
      <c r="D18" s="16" t="s">
        <v>213</v>
      </c>
      <c r="E18" s="16" t="s">
        <v>214</v>
      </c>
      <c r="F18" s="16" t="s">
        <v>215</v>
      </c>
      <c r="G18" s="16" t="s">
        <v>216</v>
      </c>
    </row>
    <row r="19" spans="1:7">
      <c r="A19" s="16"/>
      <c r="B19" s="16"/>
      <c r="C19" s="16"/>
      <c r="D19" s="16"/>
      <c r="E19" s="16"/>
    </row>
    <row r="20" spans="1:7">
      <c r="A20" s="11" t="s">
        <v>217</v>
      </c>
      <c r="C20" s="16"/>
      <c r="D20" s="16"/>
      <c r="E20" s="16"/>
      <c r="G20" s="61"/>
    </row>
    <row r="21" spans="1:7">
      <c r="A21" s="16" t="s">
        <v>218</v>
      </c>
      <c r="B21" s="16" t="s">
        <v>219</v>
      </c>
      <c r="C21" s="16"/>
      <c r="D21" s="16"/>
      <c r="E21" s="16"/>
    </row>
    <row r="22" spans="1:7">
      <c r="A22" s="16" t="s">
        <v>220</v>
      </c>
      <c r="B22" s="16" t="s">
        <v>243</v>
      </c>
      <c r="C22" s="16"/>
      <c r="D22" s="16"/>
      <c r="E22" s="16"/>
    </row>
    <row r="24" spans="1:7">
      <c r="A24" s="11" t="s">
        <v>28</v>
      </c>
      <c r="B24" s="15" t="s">
        <v>18</v>
      </c>
    </row>
    <row r="25" spans="1:7" ht="14">
      <c r="A25" s="16" t="s">
        <v>11</v>
      </c>
      <c r="B25" s="16" t="s">
        <v>149</v>
      </c>
      <c r="C25" s="16" t="s">
        <v>148</v>
      </c>
      <c r="D25" s="16" t="s">
        <v>150</v>
      </c>
    </row>
    <row r="26" spans="1:7">
      <c r="A26" s="16" t="s">
        <v>151</v>
      </c>
      <c r="B26" s="16" t="s">
        <v>152</v>
      </c>
      <c r="C26" s="16" t="s">
        <v>153</v>
      </c>
      <c r="D26" s="16" t="s">
        <v>154</v>
      </c>
    </row>
    <row r="27" spans="1:7">
      <c r="A27" s="16" t="s">
        <v>155</v>
      </c>
      <c r="B27" s="16" t="s">
        <v>156</v>
      </c>
    </row>
    <row r="28" spans="1:7">
      <c r="B28" s="16" t="s">
        <v>157</v>
      </c>
    </row>
    <row r="29" spans="1:7">
      <c r="B29" s="16" t="s">
        <v>158</v>
      </c>
    </row>
    <row r="30" spans="1:7">
      <c r="B30" s="16" t="s">
        <v>159</v>
      </c>
    </row>
    <row r="31" spans="1:7">
      <c r="B31" s="16" t="s">
        <v>160</v>
      </c>
    </row>
    <row r="32" spans="1:7">
      <c r="B32" s="16" t="s">
        <v>161</v>
      </c>
    </row>
    <row r="33" spans="2:2">
      <c r="B33" s="16" t="s">
        <v>162</v>
      </c>
    </row>
    <row r="34" spans="2:2">
      <c r="B34" s="16" t="s">
        <v>163</v>
      </c>
    </row>
    <row r="35" spans="2:2">
      <c r="B35" s="16" t="s">
        <v>164</v>
      </c>
    </row>
    <row r="36" spans="2:2">
      <c r="B36" s="16" t="s">
        <v>165</v>
      </c>
    </row>
    <row r="37" spans="2:2">
      <c r="B37" s="16" t="s">
        <v>166</v>
      </c>
    </row>
    <row r="38" spans="2:2">
      <c r="B38" s="16" t="s">
        <v>167</v>
      </c>
    </row>
    <row r="39" spans="2:2">
      <c r="B39" s="16" t="s">
        <v>168</v>
      </c>
    </row>
    <row r="40" spans="2:2">
      <c r="B40" s="16" t="s">
        <v>169</v>
      </c>
    </row>
    <row r="41" spans="2:2">
      <c r="B41" s="16" t="s">
        <v>170</v>
      </c>
    </row>
    <row r="42" spans="2:2">
      <c r="B42" s="16" t="s">
        <v>171</v>
      </c>
    </row>
    <row r="43" spans="2:2">
      <c r="B43" s="16" t="s">
        <v>172</v>
      </c>
    </row>
    <row r="44" spans="2:2">
      <c r="B44" s="16" t="s">
        <v>173</v>
      </c>
    </row>
    <row r="45" spans="2:2">
      <c r="B45" s="16" t="s">
        <v>174</v>
      </c>
    </row>
    <row r="46" spans="2:2">
      <c r="B46" s="16" t="s">
        <v>175</v>
      </c>
    </row>
    <row r="47" spans="2:2">
      <c r="B47" s="16" t="s">
        <v>176</v>
      </c>
    </row>
    <row r="48" spans="2:2">
      <c r="B48" s="16"/>
    </row>
    <row r="49" spans="1:8">
      <c r="A49" s="16" t="s">
        <v>242</v>
      </c>
      <c r="B49" s="16"/>
    </row>
    <row r="50" spans="1:8" ht="174.75" customHeight="1">
      <c r="B50" s="16"/>
    </row>
    <row r="51" spans="1:8">
      <c r="B51" s="16"/>
    </row>
    <row r="53" spans="1:8">
      <c r="A53" s="16" t="s">
        <v>238</v>
      </c>
      <c r="C53" s="16" t="s">
        <v>239</v>
      </c>
      <c r="D53" s="16" t="s">
        <v>240</v>
      </c>
      <c r="E53" s="16" t="s">
        <v>241</v>
      </c>
      <c r="F53" s="1"/>
    </row>
    <row r="55" spans="1:8">
      <c r="A55" s="11" t="s">
        <v>178</v>
      </c>
    </row>
    <row r="56" spans="1:8">
      <c r="A56" s="16" t="s">
        <v>86</v>
      </c>
      <c r="B56" s="16" t="s">
        <v>183</v>
      </c>
      <c r="C56" s="16" t="s">
        <v>184</v>
      </c>
      <c r="D56" s="16" t="s">
        <v>185</v>
      </c>
      <c r="E56" s="16" t="s">
        <v>186</v>
      </c>
    </row>
    <row r="57" spans="1:8">
      <c r="A57" s="16" t="s">
        <v>87</v>
      </c>
      <c r="B57" s="16" t="s">
        <v>179</v>
      </c>
      <c r="C57" s="16" t="s">
        <v>180</v>
      </c>
      <c r="D57" s="16" t="s">
        <v>181</v>
      </c>
      <c r="E57" s="16" t="s">
        <v>182</v>
      </c>
    </row>
    <row r="58" spans="1:8">
      <c r="A58" s="16" t="s">
        <v>88</v>
      </c>
      <c r="B58" s="16" t="s">
        <v>183</v>
      </c>
      <c r="C58" s="16" t="s">
        <v>189</v>
      </c>
      <c r="D58" s="16" t="s">
        <v>190</v>
      </c>
      <c r="E58" s="16" t="s">
        <v>191</v>
      </c>
      <c r="F58" s="16" t="s">
        <v>192</v>
      </c>
      <c r="H58" s="1"/>
    </row>
    <row r="59" spans="1:8">
      <c r="A59" s="16" t="s">
        <v>90</v>
      </c>
      <c r="B59" s="16" t="s">
        <v>183</v>
      </c>
      <c r="C59" s="16" t="s">
        <v>194</v>
      </c>
      <c r="D59" s="16" t="s">
        <v>195</v>
      </c>
      <c r="E59" s="16" t="s">
        <v>196</v>
      </c>
      <c r="F59" s="16" t="s">
        <v>193</v>
      </c>
    </row>
    <row r="60" spans="1:8">
      <c r="A60" s="16" t="s">
        <v>89</v>
      </c>
      <c r="B60" s="16" t="s">
        <v>179</v>
      </c>
      <c r="C60" s="16" t="s">
        <v>187</v>
      </c>
      <c r="D60" s="16" t="s">
        <v>188</v>
      </c>
    </row>
    <row r="61" spans="1:8">
      <c r="A61" s="16"/>
      <c r="B61" s="16"/>
      <c r="C61" s="16"/>
      <c r="D61" s="16"/>
    </row>
    <row r="62" spans="1:8">
      <c r="A62" s="16"/>
      <c r="B62" s="16"/>
      <c r="C62" s="16"/>
      <c r="D62" s="16"/>
    </row>
    <row r="63" spans="1:8">
      <c r="A63" s="16"/>
      <c r="B63" s="16"/>
      <c r="C63" s="16"/>
      <c r="D63" s="16"/>
    </row>
    <row r="64" spans="1:8">
      <c r="A64" s="16"/>
      <c r="B64" s="16"/>
      <c r="C64" s="16"/>
      <c r="D64" s="16"/>
    </row>
    <row r="66" spans="1:8">
      <c r="A66" s="16" t="s">
        <v>46</v>
      </c>
      <c r="B66" s="16" t="s">
        <v>183</v>
      </c>
      <c r="C66" s="16" t="s">
        <v>197</v>
      </c>
      <c r="D66" s="16" t="s">
        <v>198</v>
      </c>
      <c r="E66" s="16" t="s">
        <v>199</v>
      </c>
      <c r="F66" s="16" t="s">
        <v>200</v>
      </c>
      <c r="G66" s="16" t="s">
        <v>201</v>
      </c>
      <c r="H66" s="16" t="s">
        <v>202</v>
      </c>
    </row>
    <row r="67" spans="1:8">
      <c r="B67" s="16"/>
    </row>
  </sheetData>
  <hyperlinks>
    <hyperlink ref="B24" r:id="rId1" xr:uid="{00000000-0004-0000-0100-000000000000}"/>
  </hyperlinks>
  <pageMargins left="0.7" right="0.7" top="0.78740157499999996" bottom="0.78740157499999996" header="0.3" footer="0.3"/>
  <pageSetup paperSize="9"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L398"/>
  <sheetViews>
    <sheetView workbookViewId="0">
      <pane xSplit="1" ySplit="5" topLeftCell="AS6" activePane="bottomRight" state="frozen"/>
      <selection pane="topRight" activeCell="B1" sqref="B1"/>
      <selection pane="bottomLeft" activeCell="A6" sqref="A6"/>
      <selection pane="bottomRight" activeCell="L29" sqref="L29"/>
    </sheetView>
  </sheetViews>
  <sheetFormatPr baseColWidth="10" defaultRowHeight="13"/>
  <cols>
    <col min="1" max="1" width="6.6640625" style="2" customWidth="1"/>
    <col min="2" max="3" width="7.1640625" style="1" customWidth="1"/>
    <col min="4" max="5" width="6" style="1" customWidth="1"/>
    <col min="6" max="6" width="7.1640625" style="1" customWidth="1"/>
    <col min="7" max="8" width="7.5" style="1" customWidth="1"/>
    <col min="9" max="9" width="6.5" style="1" customWidth="1"/>
    <col min="10" max="10" width="7" style="1" customWidth="1"/>
    <col min="11" max="11" width="9.83203125" style="37" customWidth="1"/>
    <col min="12" max="13" width="7" style="1" customWidth="1"/>
    <col min="14" max="15" width="6.1640625" style="1" customWidth="1"/>
    <col min="16" max="16" width="6.6640625" style="1" customWidth="1"/>
    <col min="17" max="18" width="7.6640625" style="1" customWidth="1"/>
    <col min="19" max="20" width="7.33203125" style="1" customWidth="1"/>
    <col min="21" max="21" width="10.1640625" style="37" customWidth="1"/>
    <col min="22" max="23" width="7" style="1" customWidth="1"/>
    <col min="24" max="24" width="7.33203125" style="1" customWidth="1"/>
    <col min="25" max="25" width="7.6640625" style="1" customWidth="1"/>
    <col min="26" max="26" width="6.5" style="1" customWidth="1"/>
    <col min="27" max="27" width="7.1640625" style="37" customWidth="1"/>
    <col min="28" max="28" width="10.1640625" style="1" customWidth="1"/>
    <col min="29" max="29" width="8.1640625" style="1" customWidth="1"/>
    <col min="30" max="30" width="10.1640625" style="1" customWidth="1"/>
    <col min="31" max="31" width="7.6640625" style="1" customWidth="1"/>
    <col min="32" max="32" width="10.1640625" style="1" customWidth="1"/>
    <col min="33" max="33" width="7.6640625" style="1" customWidth="1"/>
    <col min="34" max="34" width="10.1640625" style="1" customWidth="1"/>
    <col min="35" max="35" width="8.83203125" style="1" customWidth="1"/>
    <col min="36" max="36" width="10.1640625" style="1" customWidth="1"/>
    <col min="37" max="37" width="10.1640625" style="37" customWidth="1"/>
    <col min="38" max="46" width="10.1640625" style="1" customWidth="1"/>
    <col min="47" max="47" width="10.1640625" style="37" customWidth="1"/>
    <col min="48" max="48" width="8.5" style="1" customWidth="1"/>
    <col min="49" max="49" width="7" style="1" customWidth="1"/>
    <col min="50" max="50" width="6.33203125" style="1" customWidth="1"/>
    <col min="51" max="52" width="7.1640625" style="1" customWidth="1"/>
    <col min="53" max="53" width="6.6640625" style="37" customWidth="1"/>
    <col min="54" max="58" width="10.1640625" style="1" customWidth="1"/>
    <col min="59" max="59" width="10.1640625" style="37" customWidth="1"/>
    <col min="60" max="60" width="14" style="1" customWidth="1"/>
    <col min="61" max="61" width="9.83203125" style="1" customWidth="1"/>
    <col min="62" max="63" width="12.1640625" style="1" customWidth="1"/>
    <col min="64" max="64" width="14" style="34" customWidth="1"/>
    <col min="65" max="65" width="9.83203125" style="1" customWidth="1"/>
    <col min="66" max="67" width="12.1640625" style="1" customWidth="1"/>
    <col min="68" max="68" width="14" style="34" customWidth="1"/>
    <col min="69" max="69" width="9.83203125" style="1" customWidth="1"/>
    <col min="70" max="71" width="12.1640625" style="1" customWidth="1"/>
    <col min="72" max="72" width="14" style="34" customWidth="1"/>
    <col min="73" max="73" width="9.83203125" style="1" customWidth="1"/>
    <col min="74" max="75" width="12.1640625" style="1" customWidth="1"/>
    <col min="76" max="76" width="8" style="34" customWidth="1"/>
    <col min="77" max="77" width="8.6640625" style="1" customWidth="1"/>
    <col min="78" max="78" width="9.6640625" style="1" bestFit="1" customWidth="1"/>
    <col min="79" max="79" width="9.6640625" style="37" bestFit="1" customWidth="1"/>
    <col min="80" max="80" width="5.5" style="1" customWidth="1"/>
    <col min="81" max="81" width="6.1640625" style="1" customWidth="1"/>
    <col min="82" max="82" width="6.5" style="37" customWidth="1"/>
    <col min="83" max="86" width="15.6640625" style="97" customWidth="1"/>
    <col min="87" max="87" width="14.33203125" style="97" customWidth="1"/>
    <col min="88" max="88" width="7.83203125" style="1" customWidth="1"/>
    <col min="89" max="89" width="9.6640625" style="1" customWidth="1"/>
    <col min="90" max="90" width="10.83203125" style="1" customWidth="1"/>
    <col min="91" max="91" width="10.1640625" style="1" customWidth="1"/>
    <col min="92" max="96" width="10.33203125" style="1" customWidth="1"/>
    <col min="97" max="97" width="9.1640625" style="1" customWidth="1"/>
    <col min="98" max="98" width="13" style="1" customWidth="1"/>
    <col min="99" max="99" width="6" style="34" customWidth="1"/>
    <col min="100" max="100" width="9.33203125" style="1" customWidth="1"/>
    <col min="101" max="101" width="7.33203125" style="1" customWidth="1"/>
    <col min="102" max="102" width="6.1640625" style="1" customWidth="1"/>
    <col min="103" max="103" width="10.1640625" style="1" customWidth="1"/>
    <col min="104" max="104" width="8.83203125" style="1" customWidth="1"/>
    <col min="105" max="105" width="5.33203125" style="1" customWidth="1"/>
    <col min="106" max="106" width="10" style="1" customWidth="1"/>
    <col min="107" max="107" width="6.6640625" style="1" customWidth="1"/>
    <col min="108" max="108" width="10.6640625" style="1" customWidth="1"/>
    <col min="109" max="109" width="7.1640625" style="1" customWidth="1"/>
    <col min="110" max="110" width="9.83203125" style="1" customWidth="1"/>
    <col min="111" max="111" width="10.1640625" style="1" customWidth="1"/>
    <col min="112" max="112" width="11.33203125" style="1" customWidth="1"/>
    <col min="113" max="113" width="8.1640625" style="1" customWidth="1"/>
    <col min="114" max="114" width="8.6640625" style="1" customWidth="1"/>
    <col min="115" max="115" width="8.1640625" style="1" customWidth="1"/>
    <col min="116" max="116" width="10.5" style="1" customWidth="1"/>
    <col min="117" max="117" width="7.33203125" style="1" customWidth="1"/>
    <col min="118" max="118" width="10.33203125" style="1" customWidth="1"/>
    <col min="119" max="119" width="7.1640625" style="1" customWidth="1"/>
    <col min="120" max="120" width="11.1640625" style="1" customWidth="1"/>
    <col min="121" max="121" width="9.6640625" style="1" customWidth="1"/>
    <col min="122" max="122" width="14.33203125" style="37" customWidth="1"/>
    <col min="123" max="123" width="6" style="1" customWidth="1"/>
    <col min="124" max="124" width="6.6640625" style="1" customWidth="1"/>
    <col min="125" max="125" width="7.33203125" style="1" customWidth="1"/>
    <col min="126" max="126" width="6.1640625" style="1" customWidth="1"/>
    <col min="127" max="127" width="9.5" style="1" customWidth="1"/>
    <col min="128" max="128" width="8.83203125" style="1" customWidth="1"/>
    <col min="129" max="129" width="5.33203125" style="1" customWidth="1"/>
    <col min="130" max="130" width="10" style="1" customWidth="1"/>
    <col min="131" max="131" width="6.6640625" style="1" customWidth="1"/>
    <col min="132" max="132" width="10.6640625" style="1" customWidth="1"/>
    <col min="133" max="133" width="7.1640625" style="1" customWidth="1"/>
    <col min="134" max="134" width="6.1640625" style="1" customWidth="1"/>
    <col min="135" max="135" width="10.1640625" style="1" customWidth="1"/>
    <col min="136" max="136" width="11.33203125" style="1" customWidth="1"/>
    <col min="137" max="137" width="7" style="1" customWidth="1"/>
    <col min="138" max="139" width="8.33203125" style="1" customWidth="1"/>
    <col min="140" max="140" width="10.83203125" style="1" customWidth="1"/>
    <col min="141" max="141" width="7.6640625" style="1" customWidth="1"/>
    <col min="142" max="143" width="8.33203125" style="1" customWidth="1"/>
    <col min="144" max="144" width="10" style="1" customWidth="1"/>
    <col min="145" max="147" width="8.33203125" style="1" customWidth="1"/>
    <col min="148" max="148" width="6.1640625" style="41" customWidth="1"/>
    <col min="149" max="149" width="11.6640625" style="1" customWidth="1"/>
    <col min="150" max="152" width="9.1640625" style="81" customWidth="1"/>
    <col min="153" max="153" width="10.5" style="81" customWidth="1"/>
    <col min="154" max="154" width="9.1640625" style="81" customWidth="1"/>
    <col min="155" max="155" width="6.33203125" style="41" customWidth="1"/>
    <col min="156" max="156" width="12" customWidth="1"/>
    <col min="157" max="157" width="8.83203125" style="102" customWidth="1"/>
    <col min="158" max="158" width="10.6640625" customWidth="1"/>
    <col min="159" max="159" width="8.1640625" customWidth="1"/>
    <col min="160" max="160" width="26.6640625" customWidth="1"/>
    <col min="161" max="161" width="13.83203125" bestFit="1" customWidth="1"/>
    <col min="162" max="162" width="22.6640625" customWidth="1"/>
    <col min="163" max="163" width="22.5" customWidth="1"/>
    <col min="164" max="164" width="18.5" customWidth="1"/>
    <col min="165" max="171" width="8"/>
    <col min="172" max="172" width="17.33203125" customWidth="1"/>
    <col min="179" max="194" width="11" style="1"/>
  </cols>
  <sheetData>
    <row r="1" spans="1:194" ht="22" thickBot="1">
      <c r="B1" s="57" t="s">
        <v>122</v>
      </c>
      <c r="C1" s="57"/>
      <c r="AB1" s="57" t="s">
        <v>123</v>
      </c>
      <c r="AC1" s="57"/>
      <c r="BH1" s="57" t="s">
        <v>79</v>
      </c>
      <c r="CJ1" s="79" t="s">
        <v>64</v>
      </c>
      <c r="CS1"/>
      <c r="CU1" s="78" t="s">
        <v>47</v>
      </c>
      <c r="DS1" s="79" t="s">
        <v>48</v>
      </c>
      <c r="ER1"/>
      <c r="ES1"/>
      <c r="ET1" s="88"/>
      <c r="EU1" s="88"/>
      <c r="EV1" s="88"/>
      <c r="EW1" s="88"/>
      <c r="EX1" s="88"/>
      <c r="EY1"/>
    </row>
    <row r="2" spans="1:194" ht="20" thickTop="1" thickBot="1">
      <c r="A2" s="12"/>
      <c r="B2" s="23" t="s">
        <v>103</v>
      </c>
      <c r="C2" s="23"/>
      <c r="D2" s="23"/>
      <c r="E2" s="23"/>
      <c r="F2" s="23"/>
      <c r="G2" s="23"/>
      <c r="H2" s="23"/>
      <c r="I2" s="23"/>
      <c r="J2" s="23"/>
      <c r="K2" s="40"/>
      <c r="L2" s="23" t="s">
        <v>104</v>
      </c>
      <c r="M2" s="23"/>
      <c r="N2" s="23"/>
      <c r="O2" s="23"/>
      <c r="P2" s="23"/>
      <c r="Q2" s="23"/>
      <c r="R2" s="23"/>
      <c r="S2" s="23"/>
      <c r="T2" s="23"/>
      <c r="U2" s="40"/>
      <c r="V2" s="111" t="s">
        <v>121</v>
      </c>
      <c r="W2" s="23"/>
      <c r="X2" s="23"/>
      <c r="Y2" s="23"/>
      <c r="Z2" s="23"/>
      <c r="AA2" s="40"/>
      <c r="AB2" s="23" t="s">
        <v>103</v>
      </c>
      <c r="AC2" s="23"/>
      <c r="AD2" s="23"/>
      <c r="AE2" s="23"/>
      <c r="AF2" s="23"/>
      <c r="AG2" s="23"/>
      <c r="AH2" s="23"/>
      <c r="AI2" s="23"/>
      <c r="AJ2" s="23"/>
      <c r="AK2" s="40"/>
      <c r="AL2" s="23" t="s">
        <v>104</v>
      </c>
      <c r="AM2" s="23"/>
      <c r="AN2" s="23"/>
      <c r="AO2" s="23"/>
      <c r="AP2" s="23"/>
      <c r="AQ2" s="23"/>
      <c r="AR2" s="23"/>
      <c r="AS2" s="23"/>
      <c r="AT2" s="23"/>
      <c r="AU2" s="40"/>
      <c r="AV2" s="111" t="s">
        <v>121</v>
      </c>
      <c r="AW2" s="23"/>
      <c r="AX2" s="23"/>
      <c r="AY2" s="23"/>
      <c r="AZ2" s="23"/>
      <c r="BA2" s="40"/>
      <c r="BB2" s="113" t="s">
        <v>124</v>
      </c>
      <c r="BC2" s="113"/>
      <c r="BD2" s="113"/>
      <c r="BE2" s="113"/>
      <c r="BF2" s="113"/>
      <c r="BG2" s="114"/>
      <c r="BH2" s="46" t="s">
        <v>78</v>
      </c>
      <c r="BI2" s="26"/>
      <c r="BJ2" s="26"/>
      <c r="BK2" s="26"/>
      <c r="BL2" s="51" t="s">
        <v>72</v>
      </c>
      <c r="BM2" s="26"/>
      <c r="BN2" s="26"/>
      <c r="BO2" s="26"/>
      <c r="BP2" s="51" t="s">
        <v>73</v>
      </c>
      <c r="BQ2" s="26"/>
      <c r="BR2" s="26"/>
      <c r="BS2" s="26"/>
      <c r="BT2" s="51" t="s">
        <v>74</v>
      </c>
      <c r="BU2" s="26"/>
      <c r="BV2" s="26"/>
      <c r="BW2" s="26"/>
      <c r="BX2" s="58" t="s">
        <v>12</v>
      </c>
      <c r="BY2" s="27"/>
      <c r="BZ2" s="27"/>
      <c r="CA2" s="52"/>
      <c r="CB2" s="27"/>
      <c r="CC2" s="27"/>
      <c r="CD2" s="52"/>
      <c r="CE2" s="145" t="s">
        <v>9</v>
      </c>
      <c r="CF2" s="145"/>
      <c r="CG2" s="145"/>
      <c r="CH2" s="145"/>
      <c r="CI2" s="107" t="s">
        <v>96</v>
      </c>
      <c r="CJ2" s="26"/>
      <c r="CK2" s="26"/>
      <c r="CL2" s="54"/>
      <c r="CM2" s="54"/>
      <c r="CN2" s="54"/>
      <c r="CO2" s="54"/>
      <c r="CP2" s="54"/>
      <c r="CQ2" s="54"/>
      <c r="CR2" s="54"/>
      <c r="CS2" s="26"/>
      <c r="CT2" s="26"/>
      <c r="CU2" s="44"/>
      <c r="CV2" s="44"/>
      <c r="CW2" s="26"/>
      <c r="CX2" s="26"/>
      <c r="CY2" s="26"/>
      <c r="CZ2" s="26"/>
      <c r="DA2" s="26"/>
      <c r="DB2" s="26"/>
      <c r="DC2" s="26"/>
      <c r="DD2" s="26"/>
      <c r="DE2" s="26"/>
      <c r="DF2" s="26"/>
      <c r="DG2" s="26"/>
      <c r="DH2" s="26"/>
      <c r="DI2" s="26" t="s">
        <v>51</v>
      </c>
      <c r="DJ2" s="26"/>
      <c r="DK2" s="26"/>
      <c r="DL2" s="26"/>
      <c r="DM2" s="26"/>
      <c r="DN2" s="26"/>
      <c r="DO2" s="26"/>
      <c r="DP2" s="26"/>
      <c r="DQ2" s="26"/>
      <c r="DR2" s="125"/>
      <c r="DS2" s="44"/>
      <c r="DT2" s="44"/>
      <c r="DU2" s="26"/>
      <c r="DV2" s="26"/>
      <c r="DW2" s="26"/>
      <c r="DX2" s="26"/>
      <c r="DY2" s="26"/>
      <c r="DZ2" s="26"/>
      <c r="EA2" s="26"/>
      <c r="EB2" s="26"/>
      <c r="EC2" s="26"/>
      <c r="ED2" s="26"/>
      <c r="EE2" s="26"/>
      <c r="EF2" s="26"/>
      <c r="EG2" s="26" t="s">
        <v>51</v>
      </c>
      <c r="EH2" s="26"/>
      <c r="EI2" s="26"/>
      <c r="EJ2" s="26"/>
      <c r="EK2" s="26"/>
      <c r="EL2" s="26"/>
      <c r="EM2" s="26"/>
      <c r="EN2" s="26"/>
      <c r="EO2" s="26"/>
      <c r="EP2" s="26"/>
      <c r="EQ2" s="26"/>
      <c r="ER2" s="75" t="s">
        <v>80</v>
      </c>
      <c r="ES2" s="90"/>
      <c r="ET2" s="91"/>
      <c r="EU2" s="91"/>
      <c r="EV2" s="91"/>
      <c r="EW2" s="91"/>
      <c r="EX2" s="91"/>
      <c r="EY2" s="42" t="s">
        <v>60</v>
      </c>
      <c r="EZ2" s="30"/>
      <c r="FA2" s="104"/>
      <c r="FB2" s="30"/>
      <c r="FC2" s="30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7"/>
      <c r="FS2" s="7"/>
      <c r="FT2" s="7"/>
      <c r="FU2" s="7"/>
      <c r="FV2" s="7"/>
      <c r="FW2" s="7"/>
      <c r="FX2" s="7"/>
      <c r="FY2" s="7"/>
      <c r="FZ2" s="7"/>
      <c r="GA2" s="7"/>
      <c r="GB2" s="7"/>
      <c r="GC2" s="7"/>
      <c r="GD2" s="7"/>
      <c r="GE2" s="7"/>
      <c r="GF2" s="7"/>
      <c r="GG2" s="7"/>
      <c r="GH2" s="7"/>
      <c r="GI2" s="7"/>
      <c r="GJ2" s="7"/>
      <c r="GK2" s="7"/>
      <c r="GL2" s="7"/>
    </row>
    <row r="3" spans="1:194" ht="15" thickTop="1">
      <c r="A3" s="12" t="s">
        <v>2</v>
      </c>
      <c r="B3" s="23" t="s">
        <v>105</v>
      </c>
      <c r="C3" s="23"/>
      <c r="D3" s="23" t="s">
        <v>106</v>
      </c>
      <c r="E3" s="23"/>
      <c r="F3" s="23" t="s">
        <v>109</v>
      </c>
      <c r="G3" s="23"/>
      <c r="H3" s="23" t="s">
        <v>42</v>
      </c>
      <c r="I3" s="23" t="s">
        <v>50</v>
      </c>
      <c r="J3" s="23" t="s">
        <v>37</v>
      </c>
      <c r="K3" s="40"/>
      <c r="L3" s="23" t="s">
        <v>105</v>
      </c>
      <c r="M3" s="23"/>
      <c r="N3" s="23" t="s">
        <v>106</v>
      </c>
      <c r="O3" s="23"/>
      <c r="P3" s="23" t="s">
        <v>109</v>
      </c>
      <c r="Q3" s="23"/>
      <c r="R3" s="23" t="s">
        <v>42</v>
      </c>
      <c r="S3" s="23" t="s">
        <v>50</v>
      </c>
      <c r="T3" s="23" t="s">
        <v>37</v>
      </c>
      <c r="U3" s="40"/>
      <c r="V3" s="23" t="s">
        <v>105</v>
      </c>
      <c r="W3" s="23" t="s">
        <v>106</v>
      </c>
      <c r="X3" s="23" t="s">
        <v>120</v>
      </c>
      <c r="Y3" s="23" t="s">
        <v>42</v>
      </c>
      <c r="Z3" s="23" t="s">
        <v>50</v>
      </c>
      <c r="AA3" s="40" t="s">
        <v>102</v>
      </c>
      <c r="AB3" s="23" t="s">
        <v>105</v>
      </c>
      <c r="AC3" s="23"/>
      <c r="AD3" s="23" t="s">
        <v>106</v>
      </c>
      <c r="AE3" s="23"/>
      <c r="AF3" s="23" t="s">
        <v>109</v>
      </c>
      <c r="AG3" s="23"/>
      <c r="AH3" s="23" t="s">
        <v>42</v>
      </c>
      <c r="AI3" s="23" t="s">
        <v>50</v>
      </c>
      <c r="AJ3" s="23" t="s">
        <v>37</v>
      </c>
      <c r="AK3" s="40"/>
      <c r="AL3" s="23" t="s">
        <v>105</v>
      </c>
      <c r="AM3" s="23"/>
      <c r="AN3" s="23" t="s">
        <v>106</v>
      </c>
      <c r="AO3" s="23"/>
      <c r="AP3" s="23" t="s">
        <v>109</v>
      </c>
      <c r="AQ3" s="23"/>
      <c r="AR3" s="23" t="s">
        <v>42</v>
      </c>
      <c r="AS3" s="23" t="s">
        <v>50</v>
      </c>
      <c r="AT3" s="23" t="s">
        <v>37</v>
      </c>
      <c r="AU3" s="40"/>
      <c r="AV3" s="23" t="s">
        <v>105</v>
      </c>
      <c r="AW3" s="23" t="s">
        <v>106</v>
      </c>
      <c r="AX3" s="23" t="s">
        <v>120</v>
      </c>
      <c r="AY3" s="23" t="s">
        <v>42</v>
      </c>
      <c r="AZ3" s="23" t="s">
        <v>50</v>
      </c>
      <c r="BA3" s="40" t="s">
        <v>102</v>
      </c>
      <c r="BB3" s="113" t="s">
        <v>105</v>
      </c>
      <c r="BC3" s="113" t="s">
        <v>106</v>
      </c>
      <c r="BD3" s="113" t="s">
        <v>120</v>
      </c>
      <c r="BE3" s="113" t="s">
        <v>42</v>
      </c>
      <c r="BF3" s="113" t="s">
        <v>50</v>
      </c>
      <c r="BG3" s="114" t="s">
        <v>102</v>
      </c>
      <c r="BH3" s="24" t="s">
        <v>49</v>
      </c>
      <c r="BI3" s="24" t="s">
        <v>43</v>
      </c>
      <c r="BJ3" s="24" t="s">
        <v>71</v>
      </c>
      <c r="BK3" s="24" t="s">
        <v>81</v>
      </c>
      <c r="BL3" s="32" t="s">
        <v>49</v>
      </c>
      <c r="BM3" s="24" t="s">
        <v>43</v>
      </c>
      <c r="BN3" s="24" t="s">
        <v>71</v>
      </c>
      <c r="BO3" s="24" t="s">
        <v>81</v>
      </c>
      <c r="BP3" s="32" t="s">
        <v>49</v>
      </c>
      <c r="BQ3" s="24" t="s">
        <v>43</v>
      </c>
      <c r="BR3" s="24" t="s">
        <v>71</v>
      </c>
      <c r="BS3" s="24" t="s">
        <v>81</v>
      </c>
      <c r="BT3" s="32" t="s">
        <v>49</v>
      </c>
      <c r="BU3" s="24" t="s">
        <v>43</v>
      </c>
      <c r="BV3" s="24" t="s">
        <v>71</v>
      </c>
      <c r="BW3" s="24" t="s">
        <v>81</v>
      </c>
      <c r="BX3" s="47" t="s">
        <v>77</v>
      </c>
      <c r="BY3" s="29" t="s">
        <v>91</v>
      </c>
      <c r="BZ3" s="29" t="s">
        <v>61</v>
      </c>
      <c r="CA3" s="86" t="s">
        <v>62</v>
      </c>
      <c r="CB3" s="29"/>
      <c r="CC3" s="29"/>
      <c r="CD3" s="86"/>
      <c r="CE3" s="120" t="s">
        <v>132</v>
      </c>
      <c r="CF3" s="121" t="s">
        <v>133</v>
      </c>
      <c r="CG3" s="121" t="s">
        <v>134</v>
      </c>
      <c r="CH3" s="122" t="s">
        <v>135</v>
      </c>
      <c r="CI3" s="99" t="s">
        <v>77</v>
      </c>
      <c r="CJ3" s="63" t="s">
        <v>22</v>
      </c>
      <c r="CK3" s="63"/>
      <c r="CL3" s="64" t="s">
        <v>76</v>
      </c>
      <c r="CM3" s="65"/>
      <c r="CN3" s="66" t="s">
        <v>10</v>
      </c>
      <c r="CO3" s="65"/>
      <c r="CP3" s="64" t="s">
        <v>63</v>
      </c>
      <c r="CQ3" s="67"/>
      <c r="CR3" s="112" t="s">
        <v>50</v>
      </c>
      <c r="CS3" s="24" t="s">
        <v>67</v>
      </c>
      <c r="CT3" s="24"/>
      <c r="CU3" s="62" t="s">
        <v>26</v>
      </c>
      <c r="CV3" s="63"/>
      <c r="CW3" s="63"/>
      <c r="CX3" s="63" t="s">
        <v>69</v>
      </c>
      <c r="CY3" s="63"/>
      <c r="CZ3" s="63"/>
      <c r="DA3" s="63" t="s">
        <v>22</v>
      </c>
      <c r="DB3" s="63"/>
      <c r="DC3" s="63" t="s">
        <v>63</v>
      </c>
      <c r="DD3" s="63"/>
      <c r="DE3" s="63" t="s">
        <v>9</v>
      </c>
      <c r="DF3" s="63"/>
      <c r="DG3" s="63" t="s">
        <v>70</v>
      </c>
      <c r="DH3" s="70"/>
      <c r="DI3" s="24" t="s">
        <v>50</v>
      </c>
      <c r="DJ3" s="24"/>
      <c r="DK3" s="24" t="s">
        <v>52</v>
      </c>
      <c r="DL3" s="24"/>
      <c r="DM3" s="24" t="s">
        <v>33</v>
      </c>
      <c r="DN3" s="24"/>
      <c r="DO3" s="24" t="s">
        <v>82</v>
      </c>
      <c r="DP3" s="24"/>
      <c r="DQ3" s="24" t="s">
        <v>67</v>
      </c>
      <c r="DR3" s="126"/>
      <c r="DS3" s="63" t="s">
        <v>26</v>
      </c>
      <c r="DT3" s="63"/>
      <c r="DU3" s="63"/>
      <c r="DV3" s="63" t="s">
        <v>69</v>
      </c>
      <c r="DW3" s="63"/>
      <c r="DX3" s="63"/>
      <c r="DY3" s="63" t="s">
        <v>22</v>
      </c>
      <c r="DZ3" s="63"/>
      <c r="EA3" s="63" t="s">
        <v>63</v>
      </c>
      <c r="EB3" s="63"/>
      <c r="EC3" s="63" t="s">
        <v>9</v>
      </c>
      <c r="ED3" s="63"/>
      <c r="EE3" s="63" t="s">
        <v>70</v>
      </c>
      <c r="EF3" s="70"/>
      <c r="EG3" s="24" t="s">
        <v>50</v>
      </c>
      <c r="EH3" s="24"/>
      <c r="EI3" s="24" t="s">
        <v>52</v>
      </c>
      <c r="EJ3" s="24"/>
      <c r="EK3" s="24" t="s">
        <v>33</v>
      </c>
      <c r="EL3" s="24"/>
      <c r="EM3" s="24" t="s">
        <v>82</v>
      </c>
      <c r="EN3" s="24"/>
      <c r="EO3" s="24" t="s">
        <v>67</v>
      </c>
      <c r="EP3" s="24"/>
      <c r="EQ3" s="24"/>
      <c r="ER3" s="76"/>
      <c r="ES3" s="41"/>
      <c r="ET3" s="82"/>
      <c r="EU3" s="82"/>
      <c r="EV3" s="82"/>
      <c r="EW3" s="82"/>
      <c r="EX3" s="82"/>
      <c r="EY3" s="43"/>
      <c r="EZ3" s="30"/>
      <c r="FA3" s="104"/>
      <c r="FB3" s="30"/>
      <c r="FC3" s="30"/>
      <c r="FE3" s="93" t="s">
        <v>119</v>
      </c>
      <c r="FF3" s="7"/>
      <c r="FG3" s="7"/>
      <c r="FH3" s="7"/>
      <c r="FI3" s="7"/>
      <c r="FJ3" s="7"/>
      <c r="FK3" s="7"/>
      <c r="FL3" s="7"/>
      <c r="FM3" s="7"/>
      <c r="FN3" s="7"/>
      <c r="FO3" s="7"/>
      <c r="FP3" s="7"/>
      <c r="FQ3" s="144" t="s">
        <v>127</v>
      </c>
      <c r="FR3" s="144"/>
      <c r="FS3" s="144"/>
      <c r="FT3" s="7"/>
      <c r="FU3" s="144" t="s">
        <v>128</v>
      </c>
      <c r="FV3" s="144"/>
      <c r="FW3" s="7"/>
      <c r="FX3" s="7"/>
      <c r="FY3" s="7"/>
      <c r="FZ3" s="7"/>
      <c r="GA3" s="7"/>
      <c r="GB3" s="7"/>
      <c r="GC3" s="7"/>
      <c r="GD3" s="7"/>
      <c r="GE3" s="7" t="s">
        <v>110</v>
      </c>
      <c r="GF3" s="7"/>
      <c r="GG3" s="7" t="s">
        <v>111</v>
      </c>
      <c r="GH3" s="7"/>
      <c r="GI3" s="7" t="s">
        <v>112</v>
      </c>
      <c r="GJ3" s="7"/>
      <c r="GK3" s="7"/>
      <c r="GL3" s="7"/>
    </row>
    <row r="4" spans="1:194" ht="14">
      <c r="A4" s="12" t="s">
        <v>27</v>
      </c>
      <c r="B4" s="109" t="s">
        <v>107</v>
      </c>
      <c r="C4" s="109" t="s">
        <v>108</v>
      </c>
      <c r="D4" s="109" t="s">
        <v>107</v>
      </c>
      <c r="E4" s="109" t="s">
        <v>108</v>
      </c>
      <c r="F4" s="109" t="s">
        <v>107</v>
      </c>
      <c r="G4" s="109" t="s">
        <v>108</v>
      </c>
      <c r="H4" s="109" t="s">
        <v>107</v>
      </c>
      <c r="I4" s="109" t="s">
        <v>107</v>
      </c>
      <c r="J4" s="109" t="s">
        <v>107</v>
      </c>
      <c r="K4" s="110" t="s">
        <v>38</v>
      </c>
      <c r="L4" s="109" t="s">
        <v>107</v>
      </c>
      <c r="M4" s="109" t="s">
        <v>108</v>
      </c>
      <c r="N4" s="109" t="s">
        <v>107</v>
      </c>
      <c r="O4" s="109" t="s">
        <v>108</v>
      </c>
      <c r="P4" s="109" t="s">
        <v>107</v>
      </c>
      <c r="Q4" s="109" t="s">
        <v>108</v>
      </c>
      <c r="R4" s="109" t="s">
        <v>107</v>
      </c>
      <c r="S4" s="109" t="s">
        <v>107</v>
      </c>
      <c r="T4" s="109" t="s">
        <v>107</v>
      </c>
      <c r="U4" s="110" t="s">
        <v>38</v>
      </c>
      <c r="V4" s="109"/>
      <c r="W4" s="109"/>
      <c r="X4" s="109"/>
      <c r="Y4" s="109"/>
      <c r="Z4" s="109"/>
      <c r="AA4" s="110"/>
      <c r="AB4" s="109" t="s">
        <v>107</v>
      </c>
      <c r="AC4" s="109" t="s">
        <v>108</v>
      </c>
      <c r="AD4" s="109" t="s">
        <v>107</v>
      </c>
      <c r="AE4" s="109" t="s">
        <v>108</v>
      </c>
      <c r="AF4" s="109" t="s">
        <v>107</v>
      </c>
      <c r="AG4" s="109" t="s">
        <v>108</v>
      </c>
      <c r="AH4" s="109" t="s">
        <v>107</v>
      </c>
      <c r="AI4" s="109" t="s">
        <v>107</v>
      </c>
      <c r="AJ4" s="109" t="s">
        <v>107</v>
      </c>
      <c r="AK4" s="110" t="s">
        <v>38</v>
      </c>
      <c r="AL4" s="109" t="s">
        <v>107</v>
      </c>
      <c r="AM4" s="109" t="s">
        <v>108</v>
      </c>
      <c r="AN4" s="109" t="s">
        <v>107</v>
      </c>
      <c r="AO4" s="109" t="s">
        <v>108</v>
      </c>
      <c r="AP4" s="109" t="s">
        <v>107</v>
      </c>
      <c r="AQ4" s="109" t="s">
        <v>108</v>
      </c>
      <c r="AR4" s="109" t="s">
        <v>107</v>
      </c>
      <c r="AS4" s="109" t="s">
        <v>107</v>
      </c>
      <c r="AT4" s="109" t="s">
        <v>107</v>
      </c>
      <c r="AU4" s="110" t="s">
        <v>38</v>
      </c>
      <c r="AV4" s="109"/>
      <c r="AW4" s="109"/>
      <c r="AX4" s="109"/>
      <c r="AY4" s="109"/>
      <c r="AZ4" s="109"/>
      <c r="BA4" s="110"/>
      <c r="BB4" s="115"/>
      <c r="BC4" s="115"/>
      <c r="BD4" s="115"/>
      <c r="BE4" s="115"/>
      <c r="BF4" s="115"/>
      <c r="BG4" s="116"/>
      <c r="BH4" s="25" t="s">
        <v>23</v>
      </c>
      <c r="BI4" s="25" t="s">
        <v>23</v>
      </c>
      <c r="BJ4" s="25" t="s">
        <v>23</v>
      </c>
      <c r="BK4" s="25" t="s">
        <v>23</v>
      </c>
      <c r="BL4" s="33" t="s">
        <v>23</v>
      </c>
      <c r="BM4" s="25" t="s">
        <v>23</v>
      </c>
      <c r="BN4" s="25" t="s">
        <v>23</v>
      </c>
      <c r="BO4" s="25" t="s">
        <v>23</v>
      </c>
      <c r="BP4" s="33" t="s">
        <v>23</v>
      </c>
      <c r="BQ4" s="25" t="s">
        <v>23</v>
      </c>
      <c r="BR4" s="25" t="s">
        <v>23</v>
      </c>
      <c r="BS4" s="25" t="s">
        <v>23</v>
      </c>
      <c r="BT4" s="33" t="s">
        <v>23</v>
      </c>
      <c r="BU4" s="25" t="s">
        <v>23</v>
      </c>
      <c r="BV4" s="25" t="s">
        <v>23</v>
      </c>
      <c r="BW4" s="25" t="s">
        <v>23</v>
      </c>
      <c r="BX4" s="48"/>
      <c r="BY4" s="28"/>
      <c r="BZ4" s="28"/>
      <c r="CA4" s="87"/>
      <c r="CB4" s="28"/>
      <c r="CC4" s="28"/>
      <c r="CD4" s="87"/>
      <c r="CE4" s="146" t="s">
        <v>136</v>
      </c>
      <c r="CF4" s="148" t="s">
        <v>137</v>
      </c>
      <c r="CG4" s="150" t="s">
        <v>138</v>
      </c>
      <c r="CH4" s="152" t="s">
        <v>139</v>
      </c>
      <c r="CI4" s="94"/>
      <c r="CJ4" s="25" t="s">
        <v>23</v>
      </c>
      <c r="CK4" s="25" t="s">
        <v>44</v>
      </c>
      <c r="CL4" s="56" t="s">
        <v>23</v>
      </c>
      <c r="CM4" s="56" t="s">
        <v>44</v>
      </c>
      <c r="CN4" s="56" t="s">
        <v>23</v>
      </c>
      <c r="CO4" s="56" t="s">
        <v>44</v>
      </c>
      <c r="CP4" s="25" t="s">
        <v>23</v>
      </c>
      <c r="CQ4" s="69"/>
      <c r="CR4" s="56"/>
      <c r="CS4" s="25" t="s">
        <v>23</v>
      </c>
      <c r="CT4" s="25" t="s">
        <v>45</v>
      </c>
      <c r="CU4" s="68" t="s">
        <v>23</v>
      </c>
      <c r="CV4" s="25" t="s">
        <v>44</v>
      </c>
      <c r="CW4" s="25" t="s">
        <v>68</v>
      </c>
      <c r="CX4" s="25" t="s">
        <v>23</v>
      </c>
      <c r="CY4" s="25" t="s">
        <v>44</v>
      </c>
      <c r="CZ4" s="25" t="s">
        <v>68</v>
      </c>
      <c r="DA4" s="25" t="s">
        <v>23</v>
      </c>
      <c r="DB4" s="25" t="s">
        <v>44</v>
      </c>
      <c r="DC4" s="25" t="s">
        <v>23</v>
      </c>
      <c r="DD4" s="25" t="s">
        <v>44</v>
      </c>
      <c r="DE4" s="25" t="s">
        <v>23</v>
      </c>
      <c r="DF4" s="25" t="s">
        <v>44</v>
      </c>
      <c r="DG4" s="25" t="s">
        <v>23</v>
      </c>
      <c r="DH4" s="71" t="s">
        <v>44</v>
      </c>
      <c r="DI4" s="25" t="s">
        <v>23</v>
      </c>
      <c r="DJ4" s="25" t="s">
        <v>44</v>
      </c>
      <c r="DK4" s="25" t="s">
        <v>23</v>
      </c>
      <c r="DL4" s="25" t="s">
        <v>44</v>
      </c>
      <c r="DM4" s="25" t="s">
        <v>23</v>
      </c>
      <c r="DN4" s="25" t="s">
        <v>44</v>
      </c>
      <c r="DO4" s="25" t="s">
        <v>23</v>
      </c>
      <c r="DP4" s="25" t="s">
        <v>44</v>
      </c>
      <c r="DQ4" s="25" t="s">
        <v>23</v>
      </c>
      <c r="DR4" s="127" t="s">
        <v>45</v>
      </c>
      <c r="DS4" s="25" t="s">
        <v>23</v>
      </c>
      <c r="DT4" s="25" t="s">
        <v>44</v>
      </c>
      <c r="DU4" s="25" t="s">
        <v>68</v>
      </c>
      <c r="DV4" s="25" t="s">
        <v>23</v>
      </c>
      <c r="DW4" s="25" t="s">
        <v>44</v>
      </c>
      <c r="DX4" s="25" t="s">
        <v>68</v>
      </c>
      <c r="DY4" s="25" t="s">
        <v>23</v>
      </c>
      <c r="DZ4" s="25" t="s">
        <v>44</v>
      </c>
      <c r="EA4" s="25" t="s">
        <v>23</v>
      </c>
      <c r="EB4" s="25" t="s">
        <v>44</v>
      </c>
      <c r="EC4" s="25" t="s">
        <v>23</v>
      </c>
      <c r="ED4" s="25" t="s">
        <v>44</v>
      </c>
      <c r="EE4" s="25" t="s">
        <v>23</v>
      </c>
      <c r="EF4" s="71" t="s">
        <v>44</v>
      </c>
      <c r="EG4" s="25" t="s">
        <v>23</v>
      </c>
      <c r="EH4" s="25" t="s">
        <v>44</v>
      </c>
      <c r="EI4" s="25" t="s">
        <v>23</v>
      </c>
      <c r="EJ4" s="25" t="s">
        <v>44</v>
      </c>
      <c r="EK4" s="25" t="s">
        <v>23</v>
      </c>
      <c r="EL4" s="25" t="s">
        <v>44</v>
      </c>
      <c r="EM4" s="25" t="s">
        <v>23</v>
      </c>
      <c r="EN4" s="25" t="s">
        <v>44</v>
      </c>
      <c r="EO4" s="25" t="s">
        <v>23</v>
      </c>
      <c r="EP4" s="25" t="s">
        <v>45</v>
      </c>
      <c r="EQ4" s="25"/>
      <c r="ER4" s="76" t="s">
        <v>23</v>
      </c>
      <c r="ES4" s="41" t="s">
        <v>83</v>
      </c>
      <c r="ET4" s="82" t="s">
        <v>36</v>
      </c>
      <c r="EU4" s="82"/>
      <c r="EV4" s="82" t="s">
        <v>36</v>
      </c>
      <c r="EW4" s="82"/>
      <c r="EX4" s="82" t="s">
        <v>36</v>
      </c>
      <c r="EY4" s="43" t="s">
        <v>23</v>
      </c>
      <c r="EZ4" s="30" t="s">
        <v>92</v>
      </c>
      <c r="FA4" s="104" t="s">
        <v>44</v>
      </c>
      <c r="FB4" s="30" t="s">
        <v>75</v>
      </c>
      <c r="FC4" s="85" t="s">
        <v>44</v>
      </c>
      <c r="FE4" s="93" t="s">
        <v>93</v>
      </c>
      <c r="FF4" s="8"/>
      <c r="FG4" s="8"/>
      <c r="FH4" s="8"/>
      <c r="FI4" s="8"/>
      <c r="FJ4" s="8"/>
      <c r="FK4" s="8"/>
      <c r="FL4" s="8"/>
      <c r="FM4" s="8"/>
      <c r="FN4" s="8"/>
      <c r="FO4" s="8"/>
      <c r="FP4" s="8"/>
      <c r="FQ4" s="8" t="s">
        <v>94</v>
      </c>
      <c r="FR4" s="8" t="s">
        <v>125</v>
      </c>
      <c r="FS4" s="8" t="s">
        <v>126</v>
      </c>
      <c r="FT4" s="8"/>
      <c r="FU4" s="118" t="s">
        <v>129</v>
      </c>
      <c r="FV4" s="119" t="s">
        <v>131</v>
      </c>
      <c r="FW4" s="8"/>
      <c r="FX4" s="8"/>
      <c r="FY4" s="8"/>
      <c r="FZ4" s="8"/>
      <c r="GA4" s="8"/>
      <c r="GB4" s="8"/>
      <c r="GC4" s="8"/>
      <c r="GD4" s="8"/>
      <c r="GE4" s="8"/>
      <c r="GF4" s="8"/>
      <c r="GG4" s="8"/>
      <c r="GH4" s="8"/>
      <c r="GI4" s="8"/>
      <c r="GJ4" s="8"/>
      <c r="GK4" s="8"/>
      <c r="GL4" s="8"/>
    </row>
    <row r="5" spans="1:194" ht="15" thickBot="1">
      <c r="A5" s="12"/>
      <c r="B5" s="109" t="s">
        <v>107</v>
      </c>
      <c r="C5" s="109" t="s">
        <v>108</v>
      </c>
      <c r="D5" s="109" t="s">
        <v>107</v>
      </c>
      <c r="E5" s="109" t="s">
        <v>108</v>
      </c>
      <c r="F5" s="109" t="s">
        <v>107</v>
      </c>
      <c r="G5" s="109" t="s">
        <v>108</v>
      </c>
      <c r="H5" s="109" t="s">
        <v>107</v>
      </c>
      <c r="I5" s="109" t="s">
        <v>107</v>
      </c>
      <c r="J5" s="109" t="s">
        <v>107</v>
      </c>
      <c r="K5" s="110" t="s">
        <v>38</v>
      </c>
      <c r="L5" s="109" t="s">
        <v>107</v>
      </c>
      <c r="M5" s="109" t="s">
        <v>108</v>
      </c>
      <c r="N5" s="109" t="s">
        <v>107</v>
      </c>
      <c r="O5" s="109" t="s">
        <v>108</v>
      </c>
      <c r="P5" s="109" t="s">
        <v>107</v>
      </c>
      <c r="Q5" s="109" t="s">
        <v>108</v>
      </c>
      <c r="R5" s="109" t="s">
        <v>107</v>
      </c>
      <c r="S5" s="109" t="s">
        <v>107</v>
      </c>
      <c r="T5" s="109" t="s">
        <v>107</v>
      </c>
      <c r="U5" s="110" t="s">
        <v>38</v>
      </c>
      <c r="V5" s="109"/>
      <c r="W5" s="109"/>
      <c r="X5" s="109"/>
      <c r="Y5" s="109"/>
      <c r="Z5" s="109"/>
      <c r="AA5" s="110"/>
      <c r="AB5" s="109" t="s">
        <v>107</v>
      </c>
      <c r="AC5" s="109" t="s">
        <v>108</v>
      </c>
      <c r="AD5" s="109" t="s">
        <v>107</v>
      </c>
      <c r="AE5" s="109" t="s">
        <v>108</v>
      </c>
      <c r="AF5" s="109" t="s">
        <v>107</v>
      </c>
      <c r="AG5" s="109" t="s">
        <v>108</v>
      </c>
      <c r="AH5" s="109" t="s">
        <v>107</v>
      </c>
      <c r="AI5" s="109" t="s">
        <v>107</v>
      </c>
      <c r="AJ5" s="109" t="s">
        <v>107</v>
      </c>
      <c r="AK5" s="110" t="s">
        <v>38</v>
      </c>
      <c r="AL5" s="109" t="s">
        <v>107</v>
      </c>
      <c r="AM5" s="109" t="s">
        <v>108</v>
      </c>
      <c r="AN5" s="109" t="s">
        <v>107</v>
      </c>
      <c r="AO5" s="109" t="s">
        <v>108</v>
      </c>
      <c r="AP5" s="109" t="s">
        <v>107</v>
      </c>
      <c r="AQ5" s="109" t="s">
        <v>108</v>
      </c>
      <c r="AR5" s="109" t="s">
        <v>107</v>
      </c>
      <c r="AS5" s="109" t="s">
        <v>107</v>
      </c>
      <c r="AT5" s="109" t="s">
        <v>107</v>
      </c>
      <c r="AU5" s="110" t="s">
        <v>38</v>
      </c>
      <c r="AV5" s="109"/>
      <c r="AW5" s="109"/>
      <c r="AX5" s="109"/>
      <c r="AY5" s="109"/>
      <c r="AZ5" s="109"/>
      <c r="BA5" s="110"/>
      <c r="BB5" s="115"/>
      <c r="BC5" s="115"/>
      <c r="BD5" s="115"/>
      <c r="BE5" s="115"/>
      <c r="BF5" s="115"/>
      <c r="BG5" s="116"/>
      <c r="BH5" s="25" t="s">
        <v>24</v>
      </c>
      <c r="BI5" s="25" t="s">
        <v>24</v>
      </c>
      <c r="BJ5" s="25" t="s">
        <v>24</v>
      </c>
      <c r="BK5" s="25" t="s">
        <v>24</v>
      </c>
      <c r="BL5" s="33" t="s">
        <v>24</v>
      </c>
      <c r="BM5" s="25" t="s">
        <v>24</v>
      </c>
      <c r="BN5" s="25" t="s">
        <v>24</v>
      </c>
      <c r="BO5" s="25" t="s">
        <v>24</v>
      </c>
      <c r="BP5" s="33" t="s">
        <v>24</v>
      </c>
      <c r="BQ5" s="25" t="s">
        <v>24</v>
      </c>
      <c r="BR5" s="25" t="s">
        <v>24</v>
      </c>
      <c r="BS5" s="25" t="s">
        <v>24</v>
      </c>
      <c r="BT5" s="33" t="s">
        <v>24</v>
      </c>
      <c r="BU5" s="25" t="s">
        <v>24</v>
      </c>
      <c r="BV5" s="25" t="s">
        <v>24</v>
      </c>
      <c r="BW5" s="25" t="s">
        <v>24</v>
      </c>
      <c r="BX5" s="48"/>
      <c r="BY5" s="28"/>
      <c r="BZ5" s="28"/>
      <c r="CA5" s="87"/>
      <c r="CB5" s="28"/>
      <c r="CC5" s="28"/>
      <c r="CD5" s="87"/>
      <c r="CE5" s="147"/>
      <c r="CF5" s="149"/>
      <c r="CG5" s="151"/>
      <c r="CH5" s="153"/>
      <c r="CI5" s="94"/>
      <c r="CJ5" s="25" t="s">
        <v>24</v>
      </c>
      <c r="CK5" s="25" t="s">
        <v>65</v>
      </c>
      <c r="CL5" s="56" t="s">
        <v>24</v>
      </c>
      <c r="CM5" s="83" t="s">
        <v>75</v>
      </c>
      <c r="CN5" s="56" t="s">
        <v>24</v>
      </c>
      <c r="CO5" s="56" t="s">
        <v>75</v>
      </c>
      <c r="CP5" s="25" t="s">
        <v>24</v>
      </c>
      <c r="CQ5" s="69"/>
      <c r="CR5" s="56"/>
      <c r="CS5" s="25" t="s">
        <v>24</v>
      </c>
      <c r="CT5" s="25" t="s">
        <v>31</v>
      </c>
      <c r="CU5" s="72" t="s">
        <v>24</v>
      </c>
      <c r="CV5" s="73"/>
      <c r="CW5" s="73"/>
      <c r="CX5" s="73" t="s">
        <v>24</v>
      </c>
      <c r="CY5" s="73"/>
      <c r="CZ5" s="73"/>
      <c r="DA5" s="73" t="s">
        <v>24</v>
      </c>
      <c r="DB5" s="73"/>
      <c r="DC5" s="73" t="s">
        <v>24</v>
      </c>
      <c r="DD5" s="73"/>
      <c r="DE5" s="73" t="s">
        <v>24</v>
      </c>
      <c r="DF5" s="73"/>
      <c r="DG5" s="73" t="s">
        <v>24</v>
      </c>
      <c r="DH5" s="74"/>
      <c r="DI5" s="25" t="s">
        <v>24</v>
      </c>
      <c r="DJ5" s="25"/>
      <c r="DK5" s="25" t="s">
        <v>24</v>
      </c>
      <c r="DL5" s="25"/>
      <c r="DM5" s="25" t="s">
        <v>24</v>
      </c>
      <c r="DN5" s="25"/>
      <c r="DO5" s="25" t="s">
        <v>24</v>
      </c>
      <c r="DP5" s="25"/>
      <c r="DQ5" s="25" t="s">
        <v>24</v>
      </c>
      <c r="DR5" s="127" t="s">
        <v>31</v>
      </c>
      <c r="DS5" s="73" t="s">
        <v>24</v>
      </c>
      <c r="DT5" s="73"/>
      <c r="DU5" s="73"/>
      <c r="DV5" s="73" t="s">
        <v>24</v>
      </c>
      <c r="DW5" s="73"/>
      <c r="DX5" s="73"/>
      <c r="DY5" s="73" t="s">
        <v>24</v>
      </c>
      <c r="DZ5" s="73"/>
      <c r="EA5" s="73" t="s">
        <v>24</v>
      </c>
      <c r="EB5" s="73"/>
      <c r="EC5" s="73" t="s">
        <v>24</v>
      </c>
      <c r="ED5" s="73"/>
      <c r="EE5" s="73" t="s">
        <v>24</v>
      </c>
      <c r="EF5" s="74"/>
      <c r="EG5" s="25" t="s">
        <v>24</v>
      </c>
      <c r="EH5" s="25"/>
      <c r="EI5" s="25" t="s">
        <v>24</v>
      </c>
      <c r="EJ5" s="25"/>
      <c r="EK5" s="25" t="s">
        <v>24</v>
      </c>
      <c r="EL5" s="25"/>
      <c r="EM5" s="25" t="s">
        <v>24</v>
      </c>
      <c r="EN5" s="25"/>
      <c r="EO5" s="25" t="s">
        <v>24</v>
      </c>
      <c r="EP5" s="25" t="s">
        <v>31</v>
      </c>
      <c r="EQ5" s="25"/>
      <c r="ER5" s="77" t="s">
        <v>24</v>
      </c>
      <c r="ES5" s="24" t="s">
        <v>97</v>
      </c>
      <c r="ET5" s="82" t="s">
        <v>84</v>
      </c>
      <c r="EU5" s="105" t="s">
        <v>98</v>
      </c>
      <c r="EV5" s="82" t="s">
        <v>84</v>
      </c>
      <c r="EW5" s="105" t="s">
        <v>99</v>
      </c>
      <c r="EX5" s="82" t="s">
        <v>84</v>
      </c>
      <c r="EY5" s="43" t="s">
        <v>24</v>
      </c>
      <c r="EZ5" s="31" t="s">
        <v>100</v>
      </c>
      <c r="FA5" s="104"/>
      <c r="FB5" s="31" t="s">
        <v>101</v>
      </c>
      <c r="FC5" s="85"/>
      <c r="FE5" s="93" t="s">
        <v>16</v>
      </c>
      <c r="FF5" s="8"/>
      <c r="FG5" s="8"/>
      <c r="FH5" s="8"/>
      <c r="FI5" s="8"/>
      <c r="FJ5" s="8"/>
      <c r="FK5" s="8"/>
      <c r="FL5" s="8"/>
      <c r="FM5" s="8"/>
      <c r="FN5" s="8"/>
      <c r="FO5" s="8"/>
      <c r="FP5" s="8"/>
      <c r="FQ5" s="8" t="s">
        <v>95</v>
      </c>
      <c r="FR5" s="8" t="s">
        <v>95</v>
      </c>
      <c r="FS5" s="8" t="s">
        <v>95</v>
      </c>
      <c r="FT5" s="8"/>
      <c r="FU5" s="118" t="s">
        <v>130</v>
      </c>
      <c r="FV5" s="118" t="s">
        <v>130</v>
      </c>
      <c r="FW5" s="8"/>
      <c r="FX5" s="8"/>
      <c r="FY5" s="8"/>
      <c r="FZ5" s="8"/>
      <c r="GA5" s="8"/>
      <c r="GB5" s="8"/>
      <c r="GC5" s="8"/>
      <c r="GD5" s="8"/>
      <c r="GE5" s="8" t="s">
        <v>113</v>
      </c>
      <c r="GF5" s="8"/>
      <c r="GG5" s="8" t="s">
        <v>114</v>
      </c>
      <c r="GH5" s="8"/>
      <c r="GI5" s="8" t="s">
        <v>115</v>
      </c>
      <c r="GJ5" s="8" t="s">
        <v>116</v>
      </c>
      <c r="GK5" s="8" t="s">
        <v>117</v>
      </c>
      <c r="GL5" s="8" t="s">
        <v>118</v>
      </c>
    </row>
    <row r="6" spans="1:194" ht="17" thickTop="1">
      <c r="CE6" s="123" t="e">
        <f>SUM(#REF!)</f>
        <v>#REF!</v>
      </c>
      <c r="CF6" s="124" t="e">
        <f>SUM(#REF!)</f>
        <v>#REF!</v>
      </c>
      <c r="CG6" s="124" t="e">
        <f>SUM(#REF!)</f>
        <v>#REF!</v>
      </c>
      <c r="CH6" s="124" t="e">
        <f>SUM(#REF!)/3</f>
        <v>#REF!</v>
      </c>
      <c r="CR6"/>
      <c r="ER6" s="1"/>
    </row>
    <row r="7" spans="1:194">
      <c r="CR7"/>
      <c r="ER7" s="1"/>
    </row>
    <row r="8" spans="1:194">
      <c r="CR8"/>
      <c r="ER8" s="1"/>
    </row>
    <row r="9" spans="1:194">
      <c r="CR9"/>
      <c r="ER9" s="1"/>
    </row>
    <row r="10" spans="1:194">
      <c r="CR10"/>
      <c r="ER10" s="1"/>
    </row>
    <row r="11" spans="1:194">
      <c r="CR11"/>
      <c r="ER11" s="1"/>
    </row>
    <row r="12" spans="1:194">
      <c r="CR12"/>
      <c r="ER12" s="1"/>
    </row>
    <row r="13" spans="1:194">
      <c r="CR13"/>
      <c r="ER13" s="1"/>
    </row>
    <row r="14" spans="1:194">
      <c r="CR14"/>
      <c r="ER14" s="1"/>
    </row>
    <row r="15" spans="1:194">
      <c r="CR15"/>
      <c r="ER15" s="1"/>
    </row>
    <row r="16" spans="1:194">
      <c r="CR16"/>
      <c r="ER16" s="1"/>
    </row>
    <row r="17" spans="96:148">
      <c r="CR17"/>
      <c r="ER17" s="1"/>
    </row>
    <row r="18" spans="96:148">
      <c r="ER18" s="1"/>
    </row>
    <row r="19" spans="96:148">
      <c r="ER19" s="1"/>
    </row>
    <row r="20" spans="96:148">
      <c r="ER20" s="1"/>
    </row>
    <row r="21" spans="96:148">
      <c r="ER21" s="1"/>
    </row>
    <row r="22" spans="96:148">
      <c r="ER22" s="1"/>
    </row>
    <row r="23" spans="96:148">
      <c r="ER23" s="1"/>
    </row>
    <row r="24" spans="96:148">
      <c r="ER24" s="1"/>
    </row>
    <row r="25" spans="96:148">
      <c r="ER25" s="1"/>
    </row>
    <row r="26" spans="96:148">
      <c r="ER26" s="1"/>
    </row>
    <row r="27" spans="96:148">
      <c r="ER27" s="1"/>
    </row>
    <row r="28" spans="96:148">
      <c r="ER28" s="1"/>
    </row>
    <row r="29" spans="96:148">
      <c r="ER29" s="1"/>
    </row>
    <row r="30" spans="96:148">
      <c r="ER30" s="1"/>
    </row>
    <row r="31" spans="96:148">
      <c r="ER31" s="1"/>
    </row>
    <row r="32" spans="96:148">
      <c r="ER32" s="1"/>
    </row>
    <row r="33" spans="148:148">
      <c r="ER33" s="1"/>
    </row>
    <row r="34" spans="148:148">
      <c r="ER34" s="1"/>
    </row>
    <row r="35" spans="148:148">
      <c r="ER35" s="1"/>
    </row>
    <row r="36" spans="148:148">
      <c r="ER36" s="1"/>
    </row>
    <row r="37" spans="148:148">
      <c r="ER37" s="1"/>
    </row>
    <row r="38" spans="148:148">
      <c r="ER38" s="1"/>
    </row>
    <row r="39" spans="148:148">
      <c r="ER39" s="1"/>
    </row>
    <row r="40" spans="148:148">
      <c r="ER40" s="1"/>
    </row>
    <row r="41" spans="148:148">
      <c r="ER41" s="1"/>
    </row>
    <row r="42" spans="148:148">
      <c r="ER42" s="1"/>
    </row>
    <row r="43" spans="148:148">
      <c r="ER43" s="1"/>
    </row>
    <row r="44" spans="148:148">
      <c r="ER44" s="1"/>
    </row>
    <row r="45" spans="148:148">
      <c r="ER45" s="1"/>
    </row>
    <row r="46" spans="148:148">
      <c r="ER46" s="1"/>
    </row>
    <row r="47" spans="148:148">
      <c r="ER47" s="1"/>
    </row>
    <row r="48" spans="148:148">
      <c r="ER48" s="1"/>
    </row>
    <row r="95" spans="1:194">
      <c r="A95" s="11"/>
      <c r="B95"/>
      <c r="C95"/>
      <c r="D95"/>
      <c r="E95"/>
      <c r="F95"/>
      <c r="G95"/>
      <c r="H95"/>
      <c r="I95"/>
      <c r="J95"/>
      <c r="K95" s="38"/>
      <c r="L95"/>
      <c r="M95"/>
      <c r="N95"/>
      <c r="O95"/>
      <c r="P95"/>
      <c r="Q95"/>
      <c r="R95"/>
      <c r="S95"/>
      <c r="T95"/>
      <c r="U95" s="38"/>
      <c r="V95"/>
      <c r="W95"/>
      <c r="X95"/>
      <c r="Y95"/>
      <c r="Z95"/>
      <c r="AA95" s="38"/>
      <c r="AB95"/>
      <c r="AC95"/>
      <c r="AD95"/>
      <c r="AE95"/>
      <c r="AF95"/>
      <c r="AG95"/>
      <c r="AH95"/>
      <c r="AI95"/>
      <c r="AJ95"/>
      <c r="AK95" s="38"/>
      <c r="AL95"/>
      <c r="AM95"/>
      <c r="AN95"/>
      <c r="AO95"/>
      <c r="AP95"/>
      <c r="AQ95"/>
      <c r="AR95"/>
      <c r="AS95"/>
      <c r="AT95"/>
      <c r="AU95" s="38"/>
      <c r="AV95"/>
      <c r="AW95"/>
      <c r="AX95"/>
      <c r="AY95"/>
      <c r="AZ95"/>
      <c r="BA95" s="38"/>
      <c r="BB95"/>
      <c r="BC95"/>
      <c r="BD95"/>
      <c r="BE95"/>
      <c r="BF95"/>
      <c r="BG95" s="38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 s="38"/>
      <c r="CB95"/>
      <c r="CC95"/>
      <c r="CD95" s="38"/>
      <c r="CE95" s="98"/>
      <c r="CF95" s="98"/>
      <c r="CG95" s="98"/>
      <c r="CH95" s="98"/>
      <c r="CI95" s="98"/>
      <c r="CJ95"/>
      <c r="CK95"/>
      <c r="CL95"/>
      <c r="CM95"/>
      <c r="CN95"/>
      <c r="CO95"/>
      <c r="CP95"/>
      <c r="CQ95"/>
      <c r="CR95"/>
      <c r="CS95"/>
      <c r="CT95"/>
      <c r="CU95" s="35"/>
      <c r="CV95"/>
      <c r="CW95"/>
      <c r="CX95"/>
      <c r="CY95"/>
      <c r="CZ95"/>
      <c r="DA95"/>
      <c r="DB95"/>
      <c r="DC95"/>
      <c r="DD95"/>
      <c r="DE95"/>
      <c r="DF95"/>
      <c r="DG95"/>
      <c r="DH95"/>
      <c r="DI95"/>
      <c r="DJ95"/>
      <c r="DK95"/>
      <c r="DL95"/>
      <c r="DM95"/>
      <c r="DN95"/>
      <c r="DO95"/>
      <c r="DP95"/>
      <c r="DQ95"/>
      <c r="DR95" s="38"/>
      <c r="DS95"/>
      <c r="DT95"/>
      <c r="DU95"/>
      <c r="DV95"/>
      <c r="DW95"/>
      <c r="DX95"/>
      <c r="DY95"/>
      <c r="DZ95"/>
      <c r="EA95"/>
      <c r="EB95"/>
      <c r="EC95"/>
      <c r="ED95"/>
      <c r="EE95"/>
      <c r="EF95"/>
      <c r="EG95"/>
      <c r="EH95"/>
      <c r="EI95"/>
      <c r="EJ95"/>
      <c r="EK95"/>
      <c r="EL95"/>
      <c r="EM95"/>
      <c r="EN95"/>
      <c r="EO95"/>
      <c r="EP95"/>
      <c r="EQ95"/>
      <c r="ER95"/>
      <c r="ES95"/>
      <c r="ET95" s="88"/>
      <c r="EU95" s="88"/>
      <c r="EV95" s="88"/>
      <c r="EW95" s="88"/>
      <c r="EX95" s="88"/>
      <c r="EY95" s="30"/>
      <c r="FW95"/>
      <c r="FX95"/>
      <c r="FY95"/>
      <c r="FZ95"/>
      <c r="GA95"/>
      <c r="GB95"/>
      <c r="GC95"/>
      <c r="GD95"/>
      <c r="GE95"/>
      <c r="GF95"/>
      <c r="GG95"/>
      <c r="GH95"/>
      <c r="GI95"/>
      <c r="GJ95"/>
      <c r="GK95"/>
      <c r="GL95"/>
    </row>
    <row r="113" spans="1:194">
      <c r="A113" s="11"/>
      <c r="B113"/>
      <c r="C113"/>
      <c r="D113"/>
      <c r="E113"/>
      <c r="F113"/>
      <c r="G113"/>
      <c r="H113"/>
      <c r="I113"/>
      <c r="J113"/>
      <c r="K113" s="38"/>
      <c r="L113"/>
      <c r="M113"/>
      <c r="N113"/>
      <c r="O113"/>
      <c r="P113"/>
      <c r="Q113"/>
      <c r="R113"/>
      <c r="S113"/>
      <c r="T113"/>
      <c r="U113" s="38"/>
      <c r="V113"/>
      <c r="W113"/>
      <c r="X113"/>
      <c r="Y113"/>
      <c r="Z113"/>
      <c r="AA113" s="38"/>
      <c r="AB113"/>
      <c r="AC113"/>
      <c r="AD113"/>
      <c r="AE113"/>
      <c r="AF113"/>
      <c r="AG113"/>
      <c r="AH113"/>
      <c r="AI113"/>
      <c r="AJ113"/>
      <c r="AK113" s="38"/>
      <c r="AL113"/>
      <c r="AM113"/>
      <c r="AN113"/>
      <c r="AO113"/>
      <c r="AP113"/>
      <c r="AQ113"/>
      <c r="AR113"/>
      <c r="AS113"/>
      <c r="AT113"/>
      <c r="AU113" s="38"/>
      <c r="AV113"/>
      <c r="AW113"/>
      <c r="AX113"/>
      <c r="AY113"/>
      <c r="AZ113"/>
      <c r="BA113" s="38"/>
      <c r="BB113"/>
      <c r="BC113"/>
      <c r="BD113"/>
      <c r="BE113"/>
      <c r="BF113"/>
      <c r="BG113" s="38"/>
      <c r="BH113"/>
      <c r="BI113"/>
      <c r="BJ113"/>
      <c r="BK113"/>
      <c r="BL113"/>
      <c r="BM113"/>
      <c r="BN113"/>
      <c r="BO113"/>
      <c r="BP113"/>
      <c r="BQ113"/>
      <c r="BR113"/>
      <c r="BS113"/>
      <c r="BT113"/>
      <c r="BU113"/>
      <c r="BV113"/>
      <c r="BW113"/>
      <c r="BX113"/>
      <c r="BY113"/>
      <c r="BZ113"/>
      <c r="CA113" s="38"/>
      <c r="CB113"/>
      <c r="CC113"/>
      <c r="CD113" s="38"/>
      <c r="CE113" s="98"/>
      <c r="CF113" s="98"/>
      <c r="CG113" s="98"/>
      <c r="CH113" s="98"/>
      <c r="CI113" s="98"/>
      <c r="CJ113"/>
      <c r="CK113"/>
      <c r="CL113"/>
      <c r="CM113"/>
      <c r="CN113"/>
      <c r="CO113"/>
      <c r="CP113"/>
      <c r="CQ113"/>
      <c r="CR113"/>
      <c r="CS113"/>
      <c r="CT113"/>
      <c r="CU113" s="35"/>
      <c r="CV113"/>
      <c r="CW113"/>
      <c r="CX113"/>
      <c r="CY113"/>
      <c r="CZ113"/>
      <c r="DA113"/>
      <c r="DB113"/>
      <c r="DC113"/>
      <c r="DD113"/>
      <c r="DE113"/>
      <c r="DF113"/>
      <c r="DG113"/>
      <c r="DH113"/>
      <c r="DI113"/>
      <c r="DJ113"/>
      <c r="DK113"/>
      <c r="DL113"/>
      <c r="DM113"/>
      <c r="DN113"/>
      <c r="DO113"/>
      <c r="DP113"/>
      <c r="DQ113"/>
      <c r="DR113" s="38"/>
      <c r="DS113"/>
      <c r="DT113"/>
      <c r="DU113"/>
      <c r="DV113"/>
      <c r="DW113"/>
      <c r="DX113"/>
      <c r="DY113"/>
      <c r="DZ113"/>
      <c r="EA113"/>
      <c r="EB113"/>
      <c r="EC113"/>
      <c r="ED113"/>
      <c r="EE113"/>
      <c r="EF113"/>
      <c r="EG113"/>
      <c r="EH113"/>
      <c r="EI113"/>
      <c r="EJ113"/>
      <c r="EK113"/>
      <c r="EL113"/>
      <c r="EM113"/>
      <c r="EN113"/>
      <c r="EO113"/>
      <c r="EP113"/>
      <c r="EQ113"/>
      <c r="ER113"/>
      <c r="ES113"/>
      <c r="ET113" s="88"/>
      <c r="EU113" s="88"/>
      <c r="EV113" s="88"/>
      <c r="EW113" s="88"/>
      <c r="EX113" s="88"/>
      <c r="EY113" s="30"/>
      <c r="FW113"/>
      <c r="FX113"/>
      <c r="FY113"/>
      <c r="FZ113"/>
      <c r="GA113"/>
      <c r="GB113"/>
      <c r="GC113"/>
      <c r="GD113"/>
      <c r="GE113"/>
      <c r="GF113"/>
      <c r="GG113"/>
      <c r="GH113"/>
      <c r="GI113"/>
      <c r="GJ113"/>
      <c r="GK113"/>
      <c r="GL113"/>
    </row>
    <row r="187" spans="76:178">
      <c r="FF187" s="1"/>
      <c r="FG187" s="1"/>
      <c r="FH187" s="1"/>
      <c r="FI187" s="1"/>
      <c r="FJ187" s="1"/>
      <c r="FK187" s="1"/>
      <c r="FL187" s="1"/>
      <c r="FM187" s="1"/>
      <c r="FN187" s="1"/>
      <c r="FO187" s="1"/>
      <c r="FP187" s="1"/>
      <c r="FQ187" s="1"/>
      <c r="FR187" s="1"/>
      <c r="FS187" s="1"/>
      <c r="FT187" s="1"/>
      <c r="FU187" s="1"/>
      <c r="FV187" s="1"/>
    </row>
    <row r="188" spans="76:178">
      <c r="BX188" s="49"/>
      <c r="BY188" s="2"/>
      <c r="BZ188" s="2"/>
      <c r="CA188" s="53"/>
      <c r="CB188" s="2"/>
      <c r="CC188" s="2"/>
      <c r="CD188" s="53"/>
      <c r="CE188" s="96"/>
      <c r="CF188" s="96"/>
      <c r="CG188" s="96"/>
      <c r="CH188" s="96"/>
      <c r="CI188" s="96"/>
      <c r="FF188" s="1"/>
      <c r="FG188" s="1"/>
      <c r="FH188" s="1"/>
      <c r="FI188" s="1"/>
      <c r="FJ188" s="1"/>
      <c r="FK188" s="1"/>
      <c r="FL188" s="1"/>
      <c r="FM188" s="1"/>
      <c r="FN188" s="1"/>
      <c r="FO188" s="1"/>
      <c r="FP188" s="1"/>
      <c r="FQ188" s="1"/>
      <c r="FR188" s="1"/>
      <c r="FS188" s="1"/>
      <c r="FT188" s="1"/>
      <c r="FU188" s="1"/>
      <c r="FV188" s="1"/>
    </row>
    <row r="398" spans="1:194">
      <c r="A398" s="9"/>
      <c r="B398" s="4"/>
      <c r="C398" s="4"/>
      <c r="D398" s="4"/>
      <c r="E398" s="4"/>
      <c r="F398" s="4"/>
      <c r="G398" s="4"/>
      <c r="H398" s="4"/>
      <c r="I398" s="4"/>
      <c r="J398" s="4"/>
      <c r="K398" s="45"/>
      <c r="L398" s="4"/>
      <c r="M398" s="4"/>
      <c r="N398" s="4"/>
      <c r="O398" s="4"/>
      <c r="P398" s="4"/>
      <c r="Q398" s="4"/>
      <c r="R398" s="4"/>
      <c r="S398" s="4"/>
      <c r="T398" s="4"/>
      <c r="U398" s="45"/>
      <c r="V398" s="4"/>
      <c r="W398" s="4"/>
      <c r="X398" s="4"/>
      <c r="Y398" s="4"/>
      <c r="Z398" s="4"/>
      <c r="AA398" s="45"/>
      <c r="AB398" s="4"/>
      <c r="AC398" s="4"/>
      <c r="AD398" s="4"/>
      <c r="AE398" s="4"/>
      <c r="AF398" s="4"/>
      <c r="AG398" s="4"/>
      <c r="AH398" s="4"/>
      <c r="AI398" s="4"/>
      <c r="AJ398" s="4"/>
      <c r="AK398" s="45"/>
      <c r="AL398" s="4"/>
      <c r="AM398" s="4"/>
      <c r="AN398" s="4"/>
      <c r="AO398" s="4"/>
      <c r="AP398" s="4"/>
      <c r="AQ398" s="4"/>
      <c r="AR398" s="4"/>
      <c r="AS398" s="4"/>
      <c r="AT398" s="4"/>
      <c r="AU398" s="45"/>
      <c r="AV398" s="4"/>
      <c r="AW398" s="4"/>
      <c r="AX398" s="4"/>
      <c r="AY398" s="4"/>
      <c r="AZ398" s="4"/>
      <c r="BA398" s="45"/>
      <c r="BB398" s="4"/>
      <c r="BC398" s="4"/>
      <c r="BD398" s="4"/>
      <c r="BE398" s="4"/>
      <c r="BF398" s="4"/>
      <c r="BG398" s="45"/>
      <c r="BH398" s="4"/>
      <c r="BI398" s="4"/>
      <c r="BJ398" s="4"/>
      <c r="BK398" s="4"/>
      <c r="BL398" s="36"/>
      <c r="BM398" s="4"/>
      <c r="BN398" s="4"/>
      <c r="BO398" s="4"/>
      <c r="BP398" s="36"/>
      <c r="BQ398" s="4"/>
      <c r="BR398" s="4"/>
      <c r="BS398" s="4"/>
      <c r="BT398" s="36"/>
      <c r="BU398" s="4"/>
      <c r="BV398" s="4"/>
      <c r="BW398" s="4"/>
      <c r="BX398" s="50"/>
      <c r="BY398" s="10"/>
      <c r="BZ398" s="10"/>
      <c r="CA398" s="39"/>
      <c r="CB398" s="10"/>
      <c r="CC398" s="10"/>
      <c r="CD398" s="39"/>
      <c r="CE398" s="95"/>
      <c r="CF398" s="95"/>
      <c r="CG398" s="95"/>
      <c r="CH398" s="95"/>
      <c r="CI398" s="95"/>
      <c r="CJ398" s="4"/>
      <c r="CK398" s="4"/>
      <c r="CL398" s="4"/>
      <c r="CM398" s="4"/>
      <c r="CN398" s="4"/>
      <c r="CO398" s="4"/>
      <c r="CP398" s="4"/>
      <c r="CQ398" s="4"/>
      <c r="CR398" s="4"/>
      <c r="CS398" s="4"/>
      <c r="CT398" s="4"/>
      <c r="CU398" s="36"/>
      <c r="CV398" s="4"/>
      <c r="CW398" s="4"/>
      <c r="CX398" s="4"/>
      <c r="CY398" s="4"/>
      <c r="CZ398" s="4"/>
      <c r="DA398" s="4"/>
      <c r="DB398" s="4"/>
      <c r="DC398" s="4"/>
      <c r="DD398" s="4"/>
      <c r="DE398" s="4"/>
      <c r="DF398" s="4"/>
      <c r="DG398" s="4"/>
      <c r="DH398" s="4"/>
      <c r="DI398" s="4"/>
      <c r="DJ398" s="4"/>
      <c r="DK398" s="4"/>
      <c r="DL398" s="4"/>
      <c r="DM398" s="4"/>
      <c r="DN398" s="4"/>
      <c r="DO398" s="4"/>
      <c r="DP398" s="4"/>
      <c r="DQ398" s="4"/>
      <c r="DR398" s="45"/>
      <c r="DS398" s="4"/>
      <c r="DT398" s="4"/>
      <c r="DU398" s="4"/>
      <c r="DV398" s="4"/>
      <c r="DW398" s="4"/>
      <c r="DX398" s="4"/>
      <c r="DY398" s="4"/>
      <c r="DZ398" s="4"/>
      <c r="EA398" s="4"/>
      <c r="EB398" s="4"/>
      <c r="EC398" s="4"/>
      <c r="ED398" s="4"/>
      <c r="EE398" s="4"/>
      <c r="EF398" s="4"/>
      <c r="EG398" s="4"/>
      <c r="EH398" s="4"/>
      <c r="EI398" s="4"/>
      <c r="EJ398" s="4"/>
      <c r="EK398" s="4"/>
      <c r="EL398" s="4"/>
      <c r="EM398" s="4"/>
      <c r="EN398" s="4"/>
      <c r="EO398" s="4"/>
      <c r="EP398" s="4"/>
      <c r="EQ398" s="4"/>
      <c r="ER398" s="55"/>
      <c r="ES398" s="10"/>
      <c r="ET398" s="89"/>
      <c r="EU398" s="89"/>
      <c r="EV398" s="89"/>
      <c r="EW398" s="89"/>
      <c r="EX398" s="89"/>
      <c r="EY398" s="55"/>
      <c r="FF398" s="10"/>
      <c r="FG398" s="10"/>
      <c r="FH398" s="10"/>
      <c r="FI398" s="10"/>
      <c r="FJ398" s="10"/>
      <c r="FK398" s="10"/>
      <c r="FL398" s="10"/>
      <c r="FM398" s="10"/>
      <c r="FN398" s="10"/>
      <c r="FO398" s="10"/>
      <c r="FP398" s="10"/>
      <c r="FQ398" s="10"/>
      <c r="FR398" s="10"/>
      <c r="FS398" s="10"/>
      <c r="FT398" s="10"/>
      <c r="FU398" s="10"/>
      <c r="FV398" s="10"/>
      <c r="FW398" s="10"/>
      <c r="FX398" s="10"/>
      <c r="FY398" s="10"/>
      <c r="FZ398" s="10"/>
      <c r="GA398" s="10"/>
      <c r="GB398" s="10"/>
      <c r="GC398" s="10"/>
      <c r="GD398" s="10"/>
      <c r="GE398" s="10"/>
      <c r="GF398" s="10"/>
      <c r="GG398" s="10"/>
      <c r="GH398" s="10"/>
      <c r="GI398" s="10"/>
      <c r="GJ398" s="10"/>
      <c r="GK398" s="10"/>
      <c r="GL398" s="10"/>
    </row>
  </sheetData>
  <mergeCells count="7">
    <mergeCell ref="FQ3:FS3"/>
    <mergeCell ref="FU3:FV3"/>
    <mergeCell ref="CE2:CH2"/>
    <mergeCell ref="CE4:CE5"/>
    <mergeCell ref="CF4:CF5"/>
    <mergeCell ref="CG4:CG5"/>
    <mergeCell ref="CH4:CH5"/>
  </mergeCells>
  <conditionalFormatting sqref="BB1:BG1 BB6:BG1048576">
    <cfRule type="cellIs" dxfId="3" priority="65" operator="lessThan">
      <formula>0</formula>
    </cfRule>
    <cfRule type="cellIs" dxfId="2" priority="66" operator="greaterThan">
      <formula>0</formula>
    </cfRule>
  </conditionalFormatting>
  <conditionalFormatting sqref="BY6:CA1048576">
    <cfRule type="cellIs" dxfId="1" priority="99" operator="greaterThan">
      <formula>49</formula>
    </cfRule>
  </conditionalFormatting>
  <conditionalFormatting sqref="CE7:CH1048576">
    <cfRule type="cellIs" dxfId="0" priority="89" operator="greaterThan">
      <formula>0</formula>
    </cfRule>
  </conditionalFormatting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Endpunkttabelle</vt:lpstr>
      <vt:lpstr>Legende</vt:lpstr>
      <vt:lpstr>Tabelle1</vt:lpstr>
    </vt:vector>
  </TitlesOfParts>
  <Company>MHH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Bianca Sahlmann</dc:creator>
  <cp:lastModifiedBy>Marcel Hochreiter</cp:lastModifiedBy>
  <dcterms:created xsi:type="dcterms:W3CDTF">2009-12-04T11:59:07Z</dcterms:created>
  <dcterms:modified xsi:type="dcterms:W3CDTF">2024-04-14T09:04:48Z</dcterms:modified>
</cp:coreProperties>
</file>